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Final_Project\data\"/>
    </mc:Choice>
  </mc:AlternateContent>
  <xr:revisionPtr revIDLastSave="0" documentId="13_ncr:1_{7BFC65EF-92BB-418E-9DA7-5A4C498680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_result" sheetId="1" r:id="rId1"/>
    <sheet name="graph" sheetId="3" r:id="rId2"/>
    <sheet name="pre-pos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" l="1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</calcChain>
</file>

<file path=xl/sharedStrings.xml><?xml version="1.0" encoding="utf-8"?>
<sst xmlns="http://schemas.openxmlformats.org/spreadsheetml/2006/main" count="146" uniqueCount="54">
  <si>
    <t>ประทับเวลา</t>
  </si>
  <si>
    <t>ความเจ็บปวดของอาการปวดหลัง ไหล่ บ่า (Office Syndrome)</t>
  </si>
  <si>
    <t>โดยปกติ ท่านรู้ตัวหรือไม่เมื่อนั่งในท่าที่ไม่ถูกต้อง</t>
  </si>
  <si>
    <t xml:space="preserve">  หลังจากที่ได้ปรับเปลี่ยนพฤติกรรม/ใช้อุปกรณ์ ท่านรู้สึกว่าอาการปวดเมื่อยร่างกายเป็นอย่างไร?  </t>
  </si>
  <si>
    <t>หลังจากใช้งานอุปกรณ์ ท่านรู้ตัวเมื่อนั่งผิดท่ามากขึ้นหรือไม่</t>
  </si>
  <si>
    <t>ปวดปานกลาง</t>
  </si>
  <si>
    <t>รู้ตัวบ้างเป็นบางครั้ง</t>
  </si>
  <si>
    <t>เท่าเดิม / เฉยๆ (ไม่เห็นความเปลี่ยนแปลง)</t>
  </si>
  <si>
    <t>รู้ตัวได้ทันทีเมื่อเริ่มนั่งผิดท่า</t>
  </si>
  <si>
    <t>ไม่รู้ตัวเลย</t>
  </si>
  <si>
    <t>ดีขึ้น (ปวดน้อยลง รู้สึกสบายตัวขึ้น)</t>
  </si>
  <si>
    <t>ปวดมาก</t>
  </si>
  <si>
    <t>ปวดเล็กน้อย</t>
  </si>
  <si>
    <t>ID</t>
  </si>
  <si>
    <t>Pain_Pre</t>
  </si>
  <si>
    <t>Pain_Post</t>
  </si>
  <si>
    <t>Awareness_Pre</t>
  </si>
  <si>
    <t>Awareness_Post</t>
  </si>
  <si>
    <t>23/3/2026, 2:20:19</t>
  </si>
  <si>
    <t>23/3/2026, 9:14:14</t>
  </si>
  <si>
    <t>Variable</t>
  </si>
  <si>
    <t>Pre Mean</t>
  </si>
  <si>
    <t>Post Mean</t>
  </si>
  <si>
    <t>t-value</t>
  </si>
  <si>
    <t>p-value</t>
  </si>
  <si>
    <t>Pain</t>
  </si>
  <si>
    <t>Awareness</t>
  </si>
  <si>
    <t>จากการทดสอบ Paired t-test พบว่า</t>
  </si>
  <si>
    <t>ค่าเฉลี่ยระดับความปวดก่อนและหลังการใช้งานไม่แตกต่างกันอย่างมีนัยสำคัญทางสถิติ</t>
  </si>
  <si>
    <t>(t = 0.42, p = 0.68)</t>
  </si>
  <si>
    <t>แสดงว่า ระบบไม่ส่งผลต่อการลดระดับความปวดของผู้ใช้งาน</t>
  </si>
  <si>
    <t>ค่าเฉลี่ยการรับรู้ท่าทางก่อนและหลังการใช้งานแตกต่างกันอย่างมีนัยสำคัญทางสถิติ</t>
  </si>
  <si>
    <t>(t = -7.94, p &lt; 0.001)</t>
  </si>
  <si>
    <t>แสดงว่า ระบบสามารถช่วยเพิ่มการรับรู้เกี่ยวกับท่าทางของผู้ใช้งานได้อย่างมีนัยสำคัญ</t>
  </si>
  <si>
    <t>ถ้า p &lt; 0.05 → มีนัยสำคัญทางสถิติ</t>
  </si>
  <si>
    <t>ถ้า p ≥ 0.05 → ไม่มีนัยสำคัญทางสถิติ</t>
  </si>
  <si>
    <t>26/3/2026, 0:11:49</t>
  </si>
  <si>
    <t>26/3/2026, 0:18:26</t>
  </si>
  <si>
    <t>26/3/2026, 0:18:47</t>
  </si>
  <si>
    <t>27/3/2026, 1:53:57</t>
  </si>
  <si>
    <t>27/3/2026, 1:54:29</t>
  </si>
  <si>
    <t>27/3/2026, 2:18:17</t>
  </si>
  <si>
    <t>27/3/2026, 11:23:14</t>
  </si>
  <si>
    <t>27/3/2026, 14:06:49</t>
  </si>
  <si>
    <t>27/3/2026, 14:07:25</t>
  </si>
  <si>
    <t>27/3/2026, 19:30:21</t>
  </si>
  <si>
    <t>27/3/2026, 20:00:10</t>
  </si>
  <si>
    <t>30/3/2026, 11:48:08</t>
  </si>
  <si>
    <t>30/3/2026, 18:47:59</t>
  </si>
  <si>
    <t>แย่ลง (ปวดมากขึ้นกว่าเดิม)</t>
  </si>
  <si>
    <t>30/3/2026, 18:48:37</t>
  </si>
  <si>
    <t>30/3/2026, 18:54:17</t>
  </si>
  <si>
    <t>30/3/2026, 20:04:48</t>
  </si>
  <si>
    <t>30/3/2026, 21:12:40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</si>
</sst>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7" formatCode="m/d/yyyy\ h:mm:ss"/>
    <numFmt numFmtId="193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top"/>
    </xf>
    <xf numFmtId="0" fontId="0" fillId="0" borderId="0" xfId="0"/>
    <xf numFmtId="0" fontId="2" fillId="3" borderId="8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11" fontId="0" fillId="0" borderId="0" xfId="0" applyNumberFormat="1"/>
    <xf numFmtId="19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เปรียบเทียบค่าเฉลี่ยก่อนและหลังการใช้งานของระดับความปวดและการรับรู้ท่าทาง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Pre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graph!$A$2:$A$3</c:f>
              <c:strCache>
                <c:ptCount val="2"/>
                <c:pt idx="0">
                  <c:v>Pain</c:v>
                </c:pt>
                <c:pt idx="1">
                  <c:v>Awareness</c:v>
                </c:pt>
              </c:strCache>
            </c:strRef>
          </c:cat>
          <c:val>
            <c:numRef>
              <c:f>graph!$B$2:$B$3</c:f>
              <c:numCache>
                <c:formatCode>General</c:formatCode>
                <c:ptCount val="2"/>
                <c:pt idx="0">
                  <c:v>1.88</c:v>
                </c:pt>
                <c:pt idx="1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8-4DFA-AAD7-559D2F0B403F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Post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graph!$A$2:$A$3</c:f>
              <c:strCache>
                <c:ptCount val="2"/>
                <c:pt idx="0">
                  <c:v>Pain</c:v>
                </c:pt>
                <c:pt idx="1">
                  <c:v>Awareness</c:v>
                </c:pt>
              </c:strCache>
            </c:strRef>
          </c:cat>
          <c:val>
            <c:numRef>
              <c:f>graph!$C$2:$C$3</c:f>
              <c:numCache>
                <c:formatCode>0.00</c:formatCode>
                <c:ptCount val="2"/>
                <c:pt idx="0" formatCode="General">
                  <c:v>1.52</c:v>
                </c:pt>
                <c:pt idx="1">
                  <c:v>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8-4DFA-AAD7-559D2F0B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78272"/>
        <c:axId val="509077024"/>
      </c:barChart>
      <c:catAx>
        <c:axId val="5090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9077024"/>
        <c:crosses val="autoZero"/>
        <c:auto val="1"/>
        <c:lblAlgn val="ctr"/>
        <c:lblOffset val="100"/>
        <c:noMultiLvlLbl val="0"/>
      </c:catAx>
      <c:valAx>
        <c:axId val="5090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90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4761</xdr:colOff>
      <xdr:row>5</xdr:row>
      <xdr:rowOff>133349</xdr:rowOff>
    </xdr:from>
    <xdr:to>
      <xdr:col>10</xdr:col>
      <xdr:colOff>19049</xdr:colOff>
      <xdr:row>26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605B4B-5CCC-4FD1-B0CA-48BE6DEB6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7">
  <tableColumns count="5">
    <tableColumn id="1" xr3:uid="{00000000-0010-0000-0000-000001000000}" name="ประทับเวลา"/>
    <tableColumn id="2" xr3:uid="{00000000-0010-0000-0000-000002000000}" name="ความเจ็บปวดของอาการปวดหลัง ไหล่ บ่า (Office Syndrome)"/>
    <tableColumn id="3" xr3:uid="{00000000-0010-0000-0000-000003000000}" name="โดยปกติ ท่านรู้ตัวหรือไม่เมื่อนั่งในท่าที่ไม่ถูกต้อง"/>
    <tableColumn id="4" xr3:uid="{00000000-0010-0000-0000-000004000000}" name="  หลังจากที่ได้ปรับเปลี่ยนพฤติกรรม/ใช้อุปกรณ์ ท่านรู้สึกว่าอาการปวดเมื่อยร่างกายเป็นอย่างไร?  "/>
    <tableColumn id="5" xr3:uid="{00000000-0010-0000-0000-000005000000}" name="หลังจากใช้งานอุปกรณ์ ท่านรู้ตัวเมื่อนั่งผิดท่ามากขึ้นหรือไม่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workbookViewId="0">
      <pane ySplit="1" topLeftCell="A2" activePane="bottomLeft" state="frozen"/>
      <selection pane="bottomLeft" activeCell="G12" sqref="G12"/>
    </sheetView>
  </sheetViews>
  <sheetFormatPr defaultColWidth="12.5703125" defaultRowHeight="15.75" customHeight="1" x14ac:dyDescent="0.2"/>
  <cols>
    <col min="1" max="1" width="18.85546875" customWidth="1"/>
    <col min="2" max="5" width="37.5703125" customWidth="1"/>
    <col min="6" max="11" width="18.8554687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>
        <v>46103.718170509259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2.5" customHeight="1" x14ac:dyDescent="0.2">
      <c r="A3" s="2">
        <v>46103.72017818287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ht="22.5" customHeight="1" x14ac:dyDescent="0.2">
      <c r="A4" s="2">
        <v>46103.720236238427</v>
      </c>
      <c r="B4" s="3" t="s">
        <v>11</v>
      </c>
      <c r="C4" s="3" t="s">
        <v>6</v>
      </c>
      <c r="D4" s="3" t="s">
        <v>7</v>
      </c>
      <c r="E4" s="3" t="s">
        <v>8</v>
      </c>
    </row>
    <row r="5" spans="1:5" ht="22.5" customHeight="1" x14ac:dyDescent="0.2">
      <c r="A5" s="2">
        <v>46103.720913530095</v>
      </c>
      <c r="B5" s="3" t="s">
        <v>12</v>
      </c>
      <c r="C5" s="3" t="s">
        <v>9</v>
      </c>
      <c r="D5" s="3" t="s">
        <v>10</v>
      </c>
      <c r="E5" s="3" t="s">
        <v>8</v>
      </c>
    </row>
    <row r="6" spans="1:5" ht="22.5" customHeight="1" x14ac:dyDescent="0.2">
      <c r="A6" s="2">
        <v>46103.789437349536</v>
      </c>
      <c r="B6" s="3" t="s">
        <v>12</v>
      </c>
      <c r="C6" s="3" t="s">
        <v>6</v>
      </c>
      <c r="D6" s="3" t="s">
        <v>10</v>
      </c>
      <c r="E6" s="3" t="s">
        <v>8</v>
      </c>
    </row>
    <row r="7" spans="1:5" ht="22.5" customHeight="1" thickBot="1" x14ac:dyDescent="0.25">
      <c r="A7" s="2">
        <v>46103.789784085646</v>
      </c>
      <c r="B7" s="3" t="s">
        <v>12</v>
      </c>
      <c r="C7" s="3" t="s">
        <v>6</v>
      </c>
      <c r="D7" s="3" t="s">
        <v>10</v>
      </c>
      <c r="E7" s="3" t="s">
        <v>6</v>
      </c>
    </row>
    <row r="8" spans="1:5" ht="15.75" customHeight="1" thickBot="1" x14ac:dyDescent="0.25">
      <c r="A8" s="5" t="s">
        <v>18</v>
      </c>
      <c r="B8" s="6" t="s">
        <v>5</v>
      </c>
      <c r="C8" s="6" t="s">
        <v>9</v>
      </c>
      <c r="D8" s="6" t="s">
        <v>10</v>
      </c>
      <c r="E8" s="7" t="s">
        <v>8</v>
      </c>
    </row>
    <row r="9" spans="1:5" ht="15.75" customHeight="1" thickBot="1" x14ac:dyDescent="0.25">
      <c r="A9" s="8" t="s">
        <v>19</v>
      </c>
      <c r="B9" s="9" t="s">
        <v>12</v>
      </c>
      <c r="C9" s="9" t="s">
        <v>9</v>
      </c>
      <c r="D9" s="9" t="s">
        <v>7</v>
      </c>
      <c r="E9" s="10" t="s">
        <v>8</v>
      </c>
    </row>
    <row r="10" spans="1:5" ht="15.75" customHeight="1" thickBot="1" x14ac:dyDescent="0.25">
      <c r="A10" s="5" t="s">
        <v>36</v>
      </c>
      <c r="B10" s="6" t="s">
        <v>5</v>
      </c>
      <c r="C10" s="6" t="s">
        <v>8</v>
      </c>
      <c r="D10" s="6" t="s">
        <v>10</v>
      </c>
      <c r="E10" s="7" t="s">
        <v>8</v>
      </c>
    </row>
    <row r="11" spans="1:5" ht="15.75" customHeight="1" thickBot="1" x14ac:dyDescent="0.25">
      <c r="A11" s="13" t="s">
        <v>37</v>
      </c>
      <c r="B11" s="14" t="s">
        <v>5</v>
      </c>
      <c r="C11" s="14" t="s">
        <v>6</v>
      </c>
      <c r="D11" s="14" t="s">
        <v>10</v>
      </c>
      <c r="E11" s="15" t="s">
        <v>8</v>
      </c>
    </row>
    <row r="12" spans="1:5" ht="15.75" customHeight="1" thickBot="1" x14ac:dyDescent="0.25">
      <c r="A12" s="16" t="s">
        <v>38</v>
      </c>
      <c r="B12" s="17" t="s">
        <v>11</v>
      </c>
      <c r="C12" s="17" t="s">
        <v>6</v>
      </c>
      <c r="D12" s="17" t="s">
        <v>10</v>
      </c>
      <c r="E12" s="18" t="s">
        <v>8</v>
      </c>
    </row>
    <row r="13" spans="1:5" ht="15.75" customHeight="1" thickBot="1" x14ac:dyDescent="0.25">
      <c r="A13" s="13" t="s">
        <v>39</v>
      </c>
      <c r="B13" s="14" t="s">
        <v>5</v>
      </c>
      <c r="C13" s="14" t="s">
        <v>9</v>
      </c>
      <c r="D13" s="14" t="s">
        <v>10</v>
      </c>
      <c r="E13" s="15" t="s">
        <v>6</v>
      </c>
    </row>
    <row r="14" spans="1:5" ht="15.75" customHeight="1" thickBot="1" x14ac:dyDescent="0.25">
      <c r="A14" s="16" t="s">
        <v>40</v>
      </c>
      <c r="B14" s="17" t="s">
        <v>12</v>
      </c>
      <c r="C14" s="17" t="s">
        <v>9</v>
      </c>
      <c r="D14" s="17" t="s">
        <v>7</v>
      </c>
      <c r="E14" s="18" t="s">
        <v>6</v>
      </c>
    </row>
    <row r="15" spans="1:5" ht="15.75" customHeight="1" thickBot="1" x14ac:dyDescent="0.25">
      <c r="A15" s="13" t="s">
        <v>41</v>
      </c>
      <c r="B15" s="14" t="s">
        <v>12</v>
      </c>
      <c r="C15" s="14" t="s">
        <v>9</v>
      </c>
      <c r="D15" s="14" t="s">
        <v>10</v>
      </c>
      <c r="E15" s="15" t="s">
        <v>8</v>
      </c>
    </row>
    <row r="16" spans="1:5" ht="15.75" customHeight="1" thickBot="1" x14ac:dyDescent="0.25">
      <c r="A16" s="16" t="s">
        <v>42</v>
      </c>
      <c r="B16" s="17" t="s">
        <v>11</v>
      </c>
      <c r="C16" s="17" t="s">
        <v>9</v>
      </c>
      <c r="D16" s="17" t="s">
        <v>10</v>
      </c>
      <c r="E16" s="18" t="s">
        <v>8</v>
      </c>
    </row>
    <row r="17" spans="1:5" ht="15.75" customHeight="1" thickBot="1" x14ac:dyDescent="0.25">
      <c r="A17" s="13" t="s">
        <v>43</v>
      </c>
      <c r="B17" s="14" t="s">
        <v>5</v>
      </c>
      <c r="C17" s="14" t="s">
        <v>6</v>
      </c>
      <c r="D17" s="14" t="s">
        <v>10</v>
      </c>
      <c r="E17" s="15" t="s">
        <v>8</v>
      </c>
    </row>
    <row r="18" spans="1:5" ht="15.75" customHeight="1" thickBot="1" x14ac:dyDescent="0.25">
      <c r="A18" s="16" t="s">
        <v>44</v>
      </c>
      <c r="B18" s="17" t="s">
        <v>5</v>
      </c>
      <c r="C18" s="17" t="s">
        <v>6</v>
      </c>
      <c r="D18" s="17" t="s">
        <v>10</v>
      </c>
      <c r="E18" s="18" t="s">
        <v>8</v>
      </c>
    </row>
    <row r="19" spans="1:5" ht="15.75" customHeight="1" thickBot="1" x14ac:dyDescent="0.25">
      <c r="A19" s="13" t="s">
        <v>45</v>
      </c>
      <c r="B19" s="14" t="s">
        <v>5</v>
      </c>
      <c r="C19" s="14" t="s">
        <v>9</v>
      </c>
      <c r="D19" s="14" t="s">
        <v>7</v>
      </c>
      <c r="E19" s="15" t="s">
        <v>6</v>
      </c>
    </row>
    <row r="20" spans="1:5" ht="15.75" customHeight="1" thickBot="1" x14ac:dyDescent="0.25">
      <c r="A20" s="16" t="s">
        <v>46</v>
      </c>
      <c r="B20" s="17" t="s">
        <v>5</v>
      </c>
      <c r="C20" s="17" t="s">
        <v>6</v>
      </c>
      <c r="D20" s="17" t="s">
        <v>10</v>
      </c>
      <c r="E20" s="18" t="s">
        <v>8</v>
      </c>
    </row>
    <row r="21" spans="1:5" ht="15.75" customHeight="1" thickBot="1" x14ac:dyDescent="0.25">
      <c r="A21" s="8" t="s">
        <v>47</v>
      </c>
      <c r="B21" s="9" t="s">
        <v>5</v>
      </c>
      <c r="C21" s="9" t="s">
        <v>9</v>
      </c>
      <c r="D21" s="9" t="s">
        <v>10</v>
      </c>
      <c r="E21" s="10" t="s">
        <v>6</v>
      </c>
    </row>
    <row r="22" spans="1:5" ht="15.75" customHeight="1" thickBot="1" x14ac:dyDescent="0.25">
      <c r="A22" s="5" t="s">
        <v>48</v>
      </c>
      <c r="B22" s="6" t="s">
        <v>5</v>
      </c>
      <c r="C22" s="6" t="s">
        <v>9</v>
      </c>
      <c r="D22" s="6" t="s">
        <v>49</v>
      </c>
      <c r="E22" s="7" t="s">
        <v>8</v>
      </c>
    </row>
    <row r="23" spans="1:5" ht="15.75" customHeight="1" thickBot="1" x14ac:dyDescent="0.25">
      <c r="A23" s="13" t="s">
        <v>50</v>
      </c>
      <c r="B23" s="14" t="s">
        <v>5</v>
      </c>
      <c r="C23" s="14" t="s">
        <v>9</v>
      </c>
      <c r="D23" s="14" t="s">
        <v>10</v>
      </c>
      <c r="E23" s="15" t="s">
        <v>6</v>
      </c>
    </row>
    <row r="24" spans="1:5" ht="15.75" customHeight="1" thickBot="1" x14ac:dyDescent="0.25">
      <c r="A24" s="16" t="s">
        <v>51</v>
      </c>
      <c r="B24" s="17" t="s">
        <v>5</v>
      </c>
      <c r="C24" s="17" t="s">
        <v>6</v>
      </c>
      <c r="D24" s="17" t="s">
        <v>10</v>
      </c>
      <c r="E24" s="18" t="s">
        <v>6</v>
      </c>
    </row>
    <row r="25" spans="1:5" ht="15.75" customHeight="1" thickBot="1" x14ac:dyDescent="0.25">
      <c r="A25" s="13" t="s">
        <v>52</v>
      </c>
      <c r="B25" s="14" t="s">
        <v>5</v>
      </c>
      <c r="C25" s="14" t="s">
        <v>6</v>
      </c>
      <c r="D25" s="14" t="s">
        <v>10</v>
      </c>
      <c r="E25" s="15" t="s">
        <v>8</v>
      </c>
    </row>
    <row r="26" spans="1:5" ht="15.75" customHeight="1" thickBot="1" x14ac:dyDescent="0.25">
      <c r="A26" s="19" t="s">
        <v>53</v>
      </c>
      <c r="B26" s="20" t="s">
        <v>5</v>
      </c>
      <c r="C26" s="20" t="s">
        <v>9</v>
      </c>
      <c r="D26" s="20" t="s">
        <v>10</v>
      </c>
      <c r="E26" s="21" t="s">
        <v>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26C5-7143-4684-8472-3A47CB08A72F}">
  <dimension ref="A1:N27"/>
  <sheetViews>
    <sheetView tabSelected="1" zoomScale="115" zoomScaleNormal="115" workbookViewId="0">
      <selection activeCell="K17" sqref="K17"/>
    </sheetView>
  </sheetViews>
  <sheetFormatPr defaultRowHeight="12.75" x14ac:dyDescent="0.2"/>
  <cols>
    <col min="1" max="1" width="10.28515625" bestFit="1" customWidth="1"/>
    <col min="2" max="2" width="11.28515625" bestFit="1" customWidth="1"/>
    <col min="3" max="3" width="12.28515625" bestFit="1" customWidth="1"/>
    <col min="4" max="4" width="12.5703125" bestFit="1" customWidth="1"/>
    <col min="5" max="5" width="13.7109375" bestFit="1" customWidth="1"/>
    <col min="14" max="14" width="66.7109375" bestFit="1" customWidth="1"/>
  </cols>
  <sheetData>
    <row r="1" spans="1:14" ht="14.25" x14ac:dyDescent="0.2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</row>
    <row r="2" spans="1:14" x14ac:dyDescent="0.2">
      <c r="A2" s="12" t="s">
        <v>25</v>
      </c>
      <c r="B2" s="12">
        <v>1.88</v>
      </c>
      <c r="C2" s="12">
        <v>1.52</v>
      </c>
      <c r="D2" s="23">
        <v>2.3772174470791838</v>
      </c>
      <c r="E2" s="23">
        <v>2.5760844817397301E-2</v>
      </c>
    </row>
    <row r="3" spans="1:14" x14ac:dyDescent="0.2">
      <c r="A3" s="12" t="s">
        <v>26</v>
      </c>
      <c r="B3" s="12">
        <v>1.28</v>
      </c>
      <c r="C3" s="24">
        <v>2.68</v>
      </c>
      <c r="D3" s="23">
        <v>-9.8994949366116654</v>
      </c>
      <c r="E3" s="22">
        <v>5.9853524174193099E-10</v>
      </c>
    </row>
    <row r="9" spans="1:14" x14ac:dyDescent="0.2">
      <c r="N9" s="12" t="s">
        <v>27</v>
      </c>
    </row>
    <row r="10" spans="1:14" x14ac:dyDescent="0.2">
      <c r="N10" s="12" t="s">
        <v>28</v>
      </c>
    </row>
    <row r="11" spans="1:14" x14ac:dyDescent="0.2">
      <c r="N11" s="12" t="s">
        <v>29</v>
      </c>
    </row>
    <row r="12" spans="1:14" x14ac:dyDescent="0.2">
      <c r="N12" s="12" t="s">
        <v>30</v>
      </c>
    </row>
    <row r="17" spans="14:14" x14ac:dyDescent="0.2">
      <c r="N17" s="12" t="s">
        <v>27</v>
      </c>
    </row>
    <row r="18" spans="14:14" x14ac:dyDescent="0.2">
      <c r="N18" s="12" t="s">
        <v>31</v>
      </c>
    </row>
    <row r="19" spans="14:14" x14ac:dyDescent="0.2">
      <c r="N19" s="12" t="s">
        <v>32</v>
      </c>
    </row>
    <row r="20" spans="14:14" x14ac:dyDescent="0.2">
      <c r="N20" s="12" t="s">
        <v>33</v>
      </c>
    </row>
    <row r="21" spans="14:14" x14ac:dyDescent="0.2">
      <c r="N21" s="12"/>
    </row>
    <row r="22" spans="14:14" x14ac:dyDescent="0.2">
      <c r="N22" s="12"/>
    </row>
    <row r="23" spans="14:14" x14ac:dyDescent="0.2">
      <c r="N23" s="12"/>
    </row>
    <row r="24" spans="14:14" x14ac:dyDescent="0.2">
      <c r="N24" s="12"/>
    </row>
    <row r="25" spans="14:14" x14ac:dyDescent="0.2">
      <c r="N25" s="12"/>
    </row>
    <row r="26" spans="14:14" x14ac:dyDescent="0.2">
      <c r="N26" s="12" t="s">
        <v>34</v>
      </c>
    </row>
    <row r="27" spans="14:14" x14ac:dyDescent="0.2">
      <c r="N27" s="12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DEC2-10AE-423B-9C73-ADB125E597F1}">
  <dimension ref="A1:E31"/>
  <sheetViews>
    <sheetView workbookViewId="0">
      <selection activeCell="A27" sqref="A27:E31"/>
    </sheetView>
  </sheetViews>
  <sheetFormatPr defaultRowHeight="12.75" x14ac:dyDescent="0.2"/>
  <cols>
    <col min="1" max="1" width="2.7109375" bestFit="1" customWidth="1"/>
    <col min="2" max="2" width="8.5703125" bestFit="1" customWidth="1"/>
    <col min="3" max="3" width="9.5703125" bestFit="1" customWidth="1"/>
    <col min="4" max="4" width="14.140625" bestFit="1" customWidth="1"/>
    <col min="5" max="5" width="15.140625" bestFit="1" customWidth="1"/>
  </cols>
  <sheetData>
    <row r="1" spans="1:5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2">
      <c r="A2" s="4">
        <v>1</v>
      </c>
      <c r="B2" s="4">
        <f>IF(raw_result!B2="ปวดเล็กน้อย",1,
IF(raw_result!B2="ปวดปานกลาง",2,
IF(raw_result!B2="ปวดมาก",3)))</f>
        <v>2</v>
      </c>
      <c r="C2" s="4">
        <f>IF(raw_result!C2="ไม่รู้ตัวเลย",1,
IF(raw_result!C2="รู้ตัวบ้างเป็นบางครั้ง",2,
IF(raw_result!C2="รู้ตัวได้ทันทีเมื่อเริ่มนั่งผิดท่า",3)))</f>
        <v>2</v>
      </c>
      <c r="D2" s="4">
        <f>IF(raw_result!D2="ดีขึ้น (ปวดน้อยลง รู้สึกสบายตัวขึ้น)",1,
IF(raw_result!D2="เท่าเดิม / เฉยๆ (ไม่เห็นความเปลี่ยนแปลง)",2,
IF(raw_result!D2="แย่ลง (ปวดมากขึ้นกว่าเดิม)",3)))</f>
        <v>2</v>
      </c>
      <c r="E2" s="4">
        <f>IF(raw_result!E2="ไม่รู้ตัวเหมือนเดิม",1,
IF(raw_result!E2="รู้ตัวบ้างเป็นบางครั้ง",2,
IF(raw_result!E2="รู้ตัวได้ทันทีเมื่อเริ่มนั่งผิดท่า",3)))</f>
        <v>3</v>
      </c>
    </row>
    <row r="3" spans="1:5" x14ac:dyDescent="0.2">
      <c r="A3" s="4">
        <v>2</v>
      </c>
      <c r="B3" s="4">
        <f>IF(raw_result!B3="ปวดเล็กน้อย",1,
IF(raw_result!B3="ปวดปานกลาง",2,
IF(raw_result!B3="ปวดมาก",3)))</f>
        <v>2</v>
      </c>
      <c r="C3" s="4">
        <f>IF(raw_result!C3="ไม่รู้ตัวเลย",1,
IF(raw_result!C3="รู้ตัวบ้างเป็นบางครั้ง",2,
IF(raw_result!C3="รู้ตัวได้ทันทีเมื่อเริ่มนั่งผิดท่า",3)))</f>
        <v>1</v>
      </c>
      <c r="D3" s="4">
        <f>IF(raw_result!D3="ดีขึ้น (ปวดน้อยลง รู้สึกสบายตัวขึ้น)",1,
IF(raw_result!D3="เท่าเดิม / เฉยๆ (ไม่เห็นความเปลี่ยนแปลง)",2,
IF(raw_result!D3="แย่ลง (ปวดมากขึ้นกว่าเดิม)",3)))</f>
        <v>1</v>
      </c>
      <c r="E3" s="4">
        <f>IF(raw_result!E3="ไม่รู้ตัวเหมือนเดิม",1,
IF(raw_result!E3="รู้ตัวบ้างเป็นบางครั้ง",2,
IF(raw_result!E3="รู้ตัวได้ทันทีเมื่อเริ่มนั่งผิดท่า",3)))</f>
        <v>3</v>
      </c>
    </row>
    <row r="4" spans="1:5" x14ac:dyDescent="0.2">
      <c r="A4" s="4">
        <v>3</v>
      </c>
      <c r="B4" s="4">
        <f>IF(raw_result!B4="ปวดเล็กน้อย",1,
IF(raw_result!B4="ปวดปานกลาง",2,
IF(raw_result!B4="ปวดมาก",3)))</f>
        <v>3</v>
      </c>
      <c r="C4" s="4">
        <f>IF(raw_result!C4="ไม่รู้ตัวเลย",1,
IF(raw_result!C4="รู้ตัวบ้างเป็นบางครั้ง",2,
IF(raw_result!C4="รู้ตัวได้ทันทีเมื่อเริ่มนั่งผิดท่า",3)))</f>
        <v>2</v>
      </c>
      <c r="D4" s="4">
        <f>IF(raw_result!D4="ดีขึ้น (ปวดน้อยลง รู้สึกสบายตัวขึ้น)",1,
IF(raw_result!D4="เท่าเดิม / เฉยๆ (ไม่เห็นความเปลี่ยนแปลง)",2,
IF(raw_result!D4="แย่ลง (ปวดมากขึ้นกว่าเดิม)",3)))</f>
        <v>2</v>
      </c>
      <c r="E4" s="4">
        <f>IF(raw_result!E4="ไม่รู้ตัวเหมือนเดิม",1,
IF(raw_result!E4="รู้ตัวบ้างเป็นบางครั้ง",2,
IF(raw_result!E4="รู้ตัวได้ทันทีเมื่อเริ่มนั่งผิดท่า",3)))</f>
        <v>3</v>
      </c>
    </row>
    <row r="5" spans="1:5" x14ac:dyDescent="0.2">
      <c r="A5" s="4">
        <v>4</v>
      </c>
      <c r="B5" s="4">
        <f>IF(raw_result!B5="ปวดเล็กน้อย",1,
IF(raw_result!B5="ปวดปานกลาง",2,
IF(raw_result!B5="ปวดมาก",3)))</f>
        <v>1</v>
      </c>
      <c r="C5" s="4">
        <f>IF(raw_result!C5="ไม่รู้ตัวเลย",1,
IF(raw_result!C5="รู้ตัวบ้างเป็นบางครั้ง",2,
IF(raw_result!C5="รู้ตัวได้ทันทีเมื่อเริ่มนั่งผิดท่า",3)))</f>
        <v>1</v>
      </c>
      <c r="D5" s="4">
        <f>IF(raw_result!D5="ดีขึ้น (ปวดน้อยลง รู้สึกสบายตัวขึ้น)",1,
IF(raw_result!D5="เท่าเดิม / เฉยๆ (ไม่เห็นความเปลี่ยนแปลง)",2,
IF(raw_result!D5="แย่ลง (ปวดมากขึ้นกว่าเดิม)",3)))</f>
        <v>1</v>
      </c>
      <c r="E5" s="4">
        <f>IF(raw_result!E5="ไม่รู้ตัวเหมือนเดิม",1,
IF(raw_result!E5="รู้ตัวบ้างเป็นบางครั้ง",2,
IF(raw_result!E5="รู้ตัวได้ทันทีเมื่อเริ่มนั่งผิดท่า",3)))</f>
        <v>3</v>
      </c>
    </row>
    <row r="6" spans="1:5" x14ac:dyDescent="0.2">
      <c r="A6" s="4">
        <v>5</v>
      </c>
      <c r="B6" s="4">
        <f>IF(raw_result!B6="ปวดเล็กน้อย",1,
IF(raw_result!B6="ปวดปานกลาง",2,
IF(raw_result!B6="ปวดมาก",3)))</f>
        <v>1</v>
      </c>
      <c r="C6" s="4">
        <f>IF(raw_result!C6="ไม่รู้ตัวเลย",1,
IF(raw_result!C6="รู้ตัวบ้างเป็นบางครั้ง",2,
IF(raw_result!C6="รู้ตัวได้ทันทีเมื่อเริ่มนั่งผิดท่า",3)))</f>
        <v>2</v>
      </c>
      <c r="D6" s="4">
        <f>IF(raw_result!D6="ดีขึ้น (ปวดน้อยลง รู้สึกสบายตัวขึ้น)",1,
IF(raw_result!D6="เท่าเดิม / เฉยๆ (ไม่เห็นความเปลี่ยนแปลง)",2,
IF(raw_result!D6="แย่ลง (ปวดมากขึ้นกว่าเดิม)",3)))</f>
        <v>1</v>
      </c>
      <c r="E6" s="4">
        <f>IF(raw_result!E6="ไม่รู้ตัวเหมือนเดิม",1,
IF(raw_result!E6="รู้ตัวบ้างเป็นบางครั้ง",2,
IF(raw_result!E6="รู้ตัวได้ทันทีเมื่อเริ่มนั่งผิดท่า",3)))</f>
        <v>3</v>
      </c>
    </row>
    <row r="7" spans="1:5" x14ac:dyDescent="0.2">
      <c r="A7" s="4">
        <v>6</v>
      </c>
      <c r="B7" s="4">
        <f>IF(raw_result!B7="ปวดเล็กน้อย",1,
IF(raw_result!B7="ปวดปานกลาง",2,
IF(raw_result!B7="ปวดมาก",3)))</f>
        <v>1</v>
      </c>
      <c r="C7" s="4">
        <f>IF(raw_result!C7="ไม่รู้ตัวเลย",1,
IF(raw_result!C7="รู้ตัวบ้างเป็นบางครั้ง",2,
IF(raw_result!C7="รู้ตัวได้ทันทีเมื่อเริ่มนั่งผิดท่า",3)))</f>
        <v>2</v>
      </c>
      <c r="D7" s="4">
        <f>IF(raw_result!D7="ดีขึ้น (ปวดน้อยลง รู้สึกสบายตัวขึ้น)",1,
IF(raw_result!D7="เท่าเดิม / เฉยๆ (ไม่เห็นความเปลี่ยนแปลง)",2,
IF(raw_result!D7="แย่ลง (ปวดมากขึ้นกว่าเดิม)",3)))</f>
        <v>1</v>
      </c>
      <c r="E7" s="4">
        <f>IF(raw_result!E7="ไม่รู้ตัวเหมือนเดิม",1,
IF(raw_result!E7="รู้ตัวบ้างเป็นบางครั้ง",2,
IF(raw_result!E7="รู้ตัวได้ทันทีเมื่อเริ่มนั่งผิดท่า",3)))</f>
        <v>2</v>
      </c>
    </row>
    <row r="8" spans="1:5" x14ac:dyDescent="0.2">
      <c r="A8" s="4">
        <v>7</v>
      </c>
      <c r="B8" s="4">
        <f>IF(raw_result!B8="ปวดเล็กน้อย",1,
IF(raw_result!B8="ปวดปานกลาง",2,
IF(raw_result!B8="ปวดมาก",3)))</f>
        <v>2</v>
      </c>
      <c r="C8" s="4">
        <f>IF(raw_result!C8="ไม่รู้ตัวเลย",1,
IF(raw_result!C8="รู้ตัวบ้างเป็นบางครั้ง",2,
IF(raw_result!C8="รู้ตัวได้ทันทีเมื่อเริ่มนั่งผิดท่า",3)))</f>
        <v>1</v>
      </c>
      <c r="D8" s="4">
        <f>IF(raw_result!D8="ดีขึ้น (ปวดน้อยลง รู้สึกสบายตัวขึ้น)",1,
IF(raw_result!D8="เท่าเดิม / เฉยๆ (ไม่เห็นความเปลี่ยนแปลง)",2,
IF(raw_result!D8="แย่ลง (ปวดมากขึ้นกว่าเดิม)",3)))</f>
        <v>1</v>
      </c>
      <c r="E8" s="4">
        <f>IF(raw_result!E8="ไม่รู้ตัวเหมือนเดิม",1,
IF(raw_result!E8="รู้ตัวบ้างเป็นบางครั้ง",2,
IF(raw_result!E8="รู้ตัวได้ทันทีเมื่อเริ่มนั่งผิดท่า",3)))</f>
        <v>3</v>
      </c>
    </row>
    <row r="9" spans="1:5" x14ac:dyDescent="0.2">
      <c r="A9" s="4">
        <v>8</v>
      </c>
      <c r="B9" s="4">
        <f>IF(raw_result!B9="ปวดเล็กน้อย",1,
IF(raw_result!B9="ปวดปานกลาง",2,
IF(raw_result!B9="ปวดมาก",3)))</f>
        <v>1</v>
      </c>
      <c r="C9" s="4">
        <f>IF(raw_result!C9="ไม่รู้ตัวเลย",1,
IF(raw_result!C9="รู้ตัวบ้างเป็นบางครั้ง",2,
IF(raw_result!C9="รู้ตัวได้ทันทีเมื่อเริ่มนั่งผิดท่า",3)))</f>
        <v>1</v>
      </c>
      <c r="D9" s="4">
        <f>IF(raw_result!D9="ดีขึ้น (ปวดน้อยลง รู้สึกสบายตัวขึ้น)",1,
IF(raw_result!D9="เท่าเดิม / เฉยๆ (ไม่เห็นความเปลี่ยนแปลง)",2,
IF(raw_result!D9="แย่ลง (ปวดมากขึ้นกว่าเดิม)",3)))</f>
        <v>2</v>
      </c>
      <c r="E9" s="4">
        <f>IF(raw_result!E9="ไม่รู้ตัวเหมือนเดิม",1,
IF(raw_result!E9="รู้ตัวบ้างเป็นบางครั้ง",2,
IF(raw_result!E9="รู้ตัวได้ทันทีเมื่อเริ่มนั่งผิดท่า",3)))</f>
        <v>3</v>
      </c>
    </row>
    <row r="10" spans="1:5" x14ac:dyDescent="0.2">
      <c r="A10" s="4">
        <v>9</v>
      </c>
      <c r="B10" s="4">
        <f>IF(raw_result!B10="ปวดเล็กน้อย",1,
IF(raw_result!B10="ปวดปานกลาง",2,
IF(raw_result!B10="ปวดมาก",3)))</f>
        <v>2</v>
      </c>
      <c r="C10" s="4">
        <f>IF(raw_result!C10="ไม่รู้ตัวเลย",1,
IF(raw_result!C10="รู้ตัวบ้างเป็นบางครั้ง",2,
IF(raw_result!C10="รู้ตัวได้ทันทีเมื่อเริ่มนั่งผิดท่า",3)))</f>
        <v>3</v>
      </c>
      <c r="D10" s="4">
        <f>IF(raw_result!D10="ดีขึ้น (ปวดน้อยลง รู้สึกสบายตัวขึ้น)",1,
IF(raw_result!D10="เท่าเดิม / เฉยๆ (ไม่เห็นความเปลี่ยนแปลง)",2,
IF(raw_result!D10="แย่ลง (ปวดมากขึ้นกว่าเดิม)",3)))</f>
        <v>1</v>
      </c>
      <c r="E10" s="4">
        <f>IF(raw_result!E10="ไม่รู้ตัวเหมือนเดิม",1,
IF(raw_result!E10="รู้ตัวบ้างเป็นบางครั้ง",2,
IF(raw_result!E10="รู้ตัวได้ทันทีเมื่อเริ่มนั่งผิดท่า",3)))</f>
        <v>3</v>
      </c>
    </row>
    <row r="11" spans="1:5" x14ac:dyDescent="0.2">
      <c r="A11" s="4">
        <v>10</v>
      </c>
      <c r="B11" s="4">
        <f>IF(raw_result!B11="ปวดเล็กน้อย",1,
IF(raw_result!B11="ปวดปานกลาง",2,
IF(raw_result!B11="ปวดมาก",3)))</f>
        <v>2</v>
      </c>
      <c r="C11" s="4">
        <f>IF(raw_result!C11="ไม่รู้ตัวเลย",1,
IF(raw_result!C11="รู้ตัวบ้างเป็นบางครั้ง",2,
IF(raw_result!C11="รู้ตัวได้ทันทีเมื่อเริ่มนั่งผิดท่า",3)))</f>
        <v>2</v>
      </c>
      <c r="D11" s="4">
        <f>IF(raw_result!D11="ดีขึ้น (ปวดน้อยลง รู้สึกสบายตัวขึ้น)",1,
IF(raw_result!D11="เท่าเดิม / เฉยๆ (ไม่เห็นความเปลี่ยนแปลง)",2,
IF(raw_result!D11="แย่ลง (ปวดมากขึ้นกว่าเดิม)",3)))</f>
        <v>1</v>
      </c>
      <c r="E11" s="4">
        <f>IF(raw_result!E11="ไม่รู้ตัวเหมือนเดิม",1,
IF(raw_result!E11="รู้ตัวบ้างเป็นบางครั้ง",2,
IF(raw_result!E11="รู้ตัวได้ทันทีเมื่อเริ่มนั่งผิดท่า",3)))</f>
        <v>3</v>
      </c>
    </row>
    <row r="12" spans="1:5" x14ac:dyDescent="0.2">
      <c r="A12" s="4">
        <v>11</v>
      </c>
      <c r="B12" s="4">
        <f>IF(raw_result!B12="ปวดเล็กน้อย",1,
IF(raw_result!B12="ปวดปานกลาง",2,
IF(raw_result!B12="ปวดมาก",3)))</f>
        <v>3</v>
      </c>
      <c r="C12" s="4">
        <f>IF(raw_result!C12="ไม่รู้ตัวเลย",1,
IF(raw_result!C12="รู้ตัวบ้างเป็นบางครั้ง",2,
IF(raw_result!C12="รู้ตัวได้ทันทีเมื่อเริ่มนั่งผิดท่า",3)))</f>
        <v>2</v>
      </c>
      <c r="D12" s="4">
        <f>IF(raw_result!D12="ดีขึ้น (ปวดน้อยลง รู้สึกสบายตัวขึ้น)",1,
IF(raw_result!D12="เท่าเดิม / เฉยๆ (ไม่เห็นความเปลี่ยนแปลง)",2,
IF(raw_result!D12="แย่ลง (ปวดมากขึ้นกว่าเดิม)",3)))</f>
        <v>1</v>
      </c>
      <c r="E12" s="4">
        <f>IF(raw_result!E12="ไม่รู้ตัวเหมือนเดิม",1,
IF(raw_result!E12="รู้ตัวบ้างเป็นบางครั้ง",2,
IF(raw_result!E12="รู้ตัวได้ทันทีเมื่อเริ่มนั่งผิดท่า",3)))</f>
        <v>3</v>
      </c>
    </row>
    <row r="13" spans="1:5" x14ac:dyDescent="0.2">
      <c r="A13" s="4">
        <v>12</v>
      </c>
      <c r="B13" s="4">
        <f>IF(raw_result!B13="ปวดเล็กน้อย",1,
IF(raw_result!B13="ปวดปานกลาง",2,
IF(raw_result!B13="ปวดมาก",3)))</f>
        <v>2</v>
      </c>
      <c r="C13" s="4">
        <f>IF(raw_result!C13="ไม่รู้ตัวเลย",1,
IF(raw_result!C13="รู้ตัวบ้างเป็นบางครั้ง",2,
IF(raw_result!C13="รู้ตัวได้ทันทีเมื่อเริ่มนั่งผิดท่า",3)))</f>
        <v>1</v>
      </c>
      <c r="D13" s="4">
        <f>IF(raw_result!D13="ดีขึ้น (ปวดน้อยลง รู้สึกสบายตัวขึ้น)",1,
IF(raw_result!D13="เท่าเดิม / เฉยๆ (ไม่เห็นความเปลี่ยนแปลง)",2,
IF(raw_result!D13="แย่ลง (ปวดมากขึ้นกว่าเดิม)",3)))</f>
        <v>1</v>
      </c>
      <c r="E13" s="4">
        <f>IF(raw_result!E13="ไม่รู้ตัวเหมือนเดิม",1,
IF(raw_result!E13="รู้ตัวบ้างเป็นบางครั้ง",2,
IF(raw_result!E13="รู้ตัวได้ทันทีเมื่อเริ่มนั่งผิดท่า",3)))</f>
        <v>2</v>
      </c>
    </row>
    <row r="14" spans="1:5" x14ac:dyDescent="0.2">
      <c r="A14" s="4">
        <v>13</v>
      </c>
      <c r="B14" s="4">
        <f>IF(raw_result!B14="ปวดเล็กน้อย",1,
IF(raw_result!B14="ปวดปานกลาง",2,
IF(raw_result!B14="ปวดมาก",3)))</f>
        <v>1</v>
      </c>
      <c r="C14" s="4">
        <f>IF(raw_result!C14="ไม่รู้ตัวเลย",1,
IF(raw_result!C14="รู้ตัวบ้างเป็นบางครั้ง",2,
IF(raw_result!C14="รู้ตัวได้ทันทีเมื่อเริ่มนั่งผิดท่า",3)))</f>
        <v>1</v>
      </c>
      <c r="D14" s="4">
        <f>IF(raw_result!D14="ดีขึ้น (ปวดน้อยลง รู้สึกสบายตัวขึ้น)",1,
IF(raw_result!D14="เท่าเดิม / เฉยๆ (ไม่เห็นความเปลี่ยนแปลง)",2,
IF(raw_result!D14="แย่ลง (ปวดมากขึ้นกว่าเดิม)",3)))</f>
        <v>2</v>
      </c>
      <c r="E14" s="4">
        <f>IF(raw_result!E14="ไม่รู้ตัวเหมือนเดิม",1,
IF(raw_result!E14="รู้ตัวบ้างเป็นบางครั้ง",2,
IF(raw_result!E14="รู้ตัวได้ทันทีเมื่อเริ่มนั่งผิดท่า",3)))</f>
        <v>2</v>
      </c>
    </row>
    <row r="15" spans="1:5" x14ac:dyDescent="0.2">
      <c r="A15" s="4">
        <v>14</v>
      </c>
      <c r="B15" s="4">
        <f>IF(raw_result!B15="ปวดเล็กน้อย",1,
IF(raw_result!B15="ปวดปานกลาง",2,
IF(raw_result!B15="ปวดมาก",3)))</f>
        <v>1</v>
      </c>
      <c r="C15" s="4">
        <f>IF(raw_result!C15="ไม่รู้ตัวเลย",1,
IF(raw_result!C15="รู้ตัวบ้างเป็นบางครั้ง",2,
IF(raw_result!C15="รู้ตัวได้ทันทีเมื่อเริ่มนั่งผิดท่า",3)))</f>
        <v>1</v>
      </c>
      <c r="D15" s="4">
        <f>IF(raw_result!D15="ดีขึ้น (ปวดน้อยลง รู้สึกสบายตัวขึ้น)",1,
IF(raw_result!D15="เท่าเดิม / เฉยๆ (ไม่เห็นความเปลี่ยนแปลง)",2,
IF(raw_result!D15="แย่ลง (ปวดมากขึ้นกว่าเดิม)",3)))</f>
        <v>1</v>
      </c>
      <c r="E15" s="4">
        <f>IF(raw_result!E15="ไม่รู้ตัวเหมือนเดิม",1,
IF(raw_result!E15="รู้ตัวบ้างเป็นบางครั้ง",2,
IF(raw_result!E15="รู้ตัวได้ทันทีเมื่อเริ่มนั่งผิดท่า",3)))</f>
        <v>3</v>
      </c>
    </row>
    <row r="16" spans="1:5" x14ac:dyDescent="0.2">
      <c r="A16" s="4">
        <v>15</v>
      </c>
      <c r="B16" s="4">
        <f>IF(raw_result!B16="ปวดเล็กน้อย",1,
IF(raw_result!B16="ปวดปานกลาง",2,
IF(raw_result!B16="ปวดมาก",3)))</f>
        <v>3</v>
      </c>
      <c r="C16" s="4">
        <f>IF(raw_result!C16="ไม่รู้ตัวเลย",1,
IF(raw_result!C16="รู้ตัวบ้างเป็นบางครั้ง",2,
IF(raw_result!C16="รู้ตัวได้ทันทีเมื่อเริ่มนั่งผิดท่า",3)))</f>
        <v>1</v>
      </c>
      <c r="D16" s="4">
        <f>IF(raw_result!D16="ดีขึ้น (ปวดน้อยลง รู้สึกสบายตัวขึ้น)",1,
IF(raw_result!D16="เท่าเดิม / เฉยๆ (ไม่เห็นความเปลี่ยนแปลง)",2,
IF(raw_result!D16="แย่ลง (ปวดมากขึ้นกว่าเดิม)",3)))</f>
        <v>1</v>
      </c>
      <c r="E16" s="4">
        <f>IF(raw_result!E16="ไม่รู้ตัวเหมือนเดิม",1,
IF(raw_result!E16="รู้ตัวบ้างเป็นบางครั้ง",2,
IF(raw_result!E16="รู้ตัวได้ทันทีเมื่อเริ่มนั่งผิดท่า",3)))</f>
        <v>3</v>
      </c>
    </row>
    <row r="17" spans="1:5" x14ac:dyDescent="0.2">
      <c r="A17" s="4">
        <v>16</v>
      </c>
      <c r="B17" s="4">
        <f>IF(raw_result!B17="ปวดเล็กน้อย",1,
IF(raw_result!B17="ปวดปานกลาง",2,
IF(raw_result!B17="ปวดมาก",3)))</f>
        <v>2</v>
      </c>
      <c r="C17" s="4">
        <f>IF(raw_result!C17="ไม่รู้ตัวเลย",1,
IF(raw_result!C17="รู้ตัวบ้างเป็นบางครั้ง",2,
IF(raw_result!C17="รู้ตัวได้ทันทีเมื่อเริ่มนั่งผิดท่า",3)))</f>
        <v>2</v>
      </c>
      <c r="D17" s="4">
        <f>IF(raw_result!D17="ดีขึ้น (ปวดน้อยลง รู้สึกสบายตัวขึ้น)",1,
IF(raw_result!D17="เท่าเดิม / เฉยๆ (ไม่เห็นความเปลี่ยนแปลง)",2,
IF(raw_result!D17="แย่ลง (ปวดมากขึ้นกว่าเดิม)",3)))</f>
        <v>1</v>
      </c>
      <c r="E17" s="4">
        <f>IF(raw_result!E17="ไม่รู้ตัวเหมือนเดิม",1,
IF(raw_result!E17="รู้ตัวบ้างเป็นบางครั้ง",2,
IF(raw_result!E17="รู้ตัวได้ทันทีเมื่อเริ่มนั่งผิดท่า",3)))</f>
        <v>3</v>
      </c>
    </row>
    <row r="18" spans="1:5" x14ac:dyDescent="0.2">
      <c r="A18" s="4">
        <v>17</v>
      </c>
      <c r="B18" s="4">
        <f>IF(raw_result!B18="ปวดเล็กน้อย",1,
IF(raw_result!B18="ปวดปานกลาง",2,
IF(raw_result!B18="ปวดมาก",3)))</f>
        <v>2</v>
      </c>
      <c r="C18" s="4">
        <f>IF(raw_result!C18="ไม่รู้ตัวเลย",1,
IF(raw_result!C18="รู้ตัวบ้างเป็นบางครั้ง",2,
IF(raw_result!C18="รู้ตัวได้ทันทีเมื่อเริ่มนั่งผิดท่า",3)))</f>
        <v>2</v>
      </c>
      <c r="D18" s="4">
        <f>IF(raw_result!D18="ดีขึ้น (ปวดน้อยลง รู้สึกสบายตัวขึ้น)",1,
IF(raw_result!D18="เท่าเดิม / เฉยๆ (ไม่เห็นความเปลี่ยนแปลง)",2,
IF(raw_result!D18="แย่ลง (ปวดมากขึ้นกว่าเดิม)",3)))</f>
        <v>1</v>
      </c>
      <c r="E18" s="4">
        <f>IF(raw_result!E18="ไม่รู้ตัวเหมือนเดิม",1,
IF(raw_result!E18="รู้ตัวบ้างเป็นบางครั้ง",2,
IF(raw_result!E18="รู้ตัวได้ทันทีเมื่อเริ่มนั่งผิดท่า",3)))</f>
        <v>3</v>
      </c>
    </row>
    <row r="19" spans="1:5" x14ac:dyDescent="0.2">
      <c r="A19" s="4">
        <v>18</v>
      </c>
      <c r="B19" s="4">
        <f>IF(raw_result!B19="ปวดเล็กน้อย",1,
IF(raw_result!B19="ปวดปานกลาง",2,
IF(raw_result!B19="ปวดมาก",3)))</f>
        <v>2</v>
      </c>
      <c r="C19" s="4">
        <f>IF(raw_result!C19="ไม่รู้ตัวเลย",1,
IF(raw_result!C19="รู้ตัวบ้างเป็นบางครั้ง",2,
IF(raw_result!C19="รู้ตัวได้ทันทีเมื่อเริ่มนั่งผิดท่า",3)))</f>
        <v>1</v>
      </c>
      <c r="D19" s="4">
        <f>IF(raw_result!D19="ดีขึ้น (ปวดน้อยลง รู้สึกสบายตัวขึ้น)",1,
IF(raw_result!D19="เท่าเดิม / เฉยๆ (ไม่เห็นความเปลี่ยนแปลง)",2,
IF(raw_result!D19="แย่ลง (ปวดมากขึ้นกว่าเดิม)",3)))</f>
        <v>2</v>
      </c>
      <c r="E19" s="4">
        <f>IF(raw_result!E19="ไม่รู้ตัวเหมือนเดิม",1,
IF(raw_result!E19="รู้ตัวบ้างเป็นบางครั้ง",2,
IF(raw_result!E19="รู้ตัวได้ทันทีเมื่อเริ่มนั่งผิดท่า",3)))</f>
        <v>2</v>
      </c>
    </row>
    <row r="20" spans="1:5" x14ac:dyDescent="0.2">
      <c r="A20" s="4">
        <v>19</v>
      </c>
      <c r="B20" s="4">
        <f>IF(raw_result!B20="ปวดเล็กน้อย",1,
IF(raw_result!B20="ปวดปานกลาง",2,
IF(raw_result!B20="ปวดมาก",3)))</f>
        <v>2</v>
      </c>
      <c r="C20" s="4">
        <f>IF(raw_result!C20="ไม่รู้ตัวเลย",1,
IF(raw_result!C20="รู้ตัวบ้างเป็นบางครั้ง",2,
IF(raw_result!C20="รู้ตัวได้ทันทีเมื่อเริ่มนั่งผิดท่า",3)))</f>
        <v>2</v>
      </c>
      <c r="D20" s="4">
        <f>IF(raw_result!D20="ดีขึ้น (ปวดน้อยลง รู้สึกสบายตัวขึ้น)",1,
IF(raw_result!D20="เท่าเดิม / เฉยๆ (ไม่เห็นความเปลี่ยนแปลง)",2,
IF(raw_result!D20="แย่ลง (ปวดมากขึ้นกว่าเดิม)",3)))</f>
        <v>1</v>
      </c>
      <c r="E20" s="4">
        <f>IF(raw_result!E20="ไม่รู้ตัวเหมือนเดิม",1,
IF(raw_result!E20="รู้ตัวบ้างเป็นบางครั้ง",2,
IF(raw_result!E20="รู้ตัวได้ทันทีเมื่อเริ่มนั่งผิดท่า",3)))</f>
        <v>3</v>
      </c>
    </row>
    <row r="21" spans="1:5" x14ac:dyDescent="0.2">
      <c r="A21" s="4">
        <v>20</v>
      </c>
      <c r="B21" s="4">
        <f>IF(raw_result!B21="ปวดเล็กน้อย",1,
IF(raw_result!B21="ปวดปานกลาง",2,
IF(raw_result!B21="ปวดมาก",3)))</f>
        <v>2</v>
      </c>
      <c r="C21" s="4">
        <f>IF(raw_result!C21="ไม่รู้ตัวเลย",1,
IF(raw_result!C21="รู้ตัวบ้างเป็นบางครั้ง",2,
IF(raw_result!C21="รู้ตัวได้ทันทีเมื่อเริ่มนั่งผิดท่า",3)))</f>
        <v>1</v>
      </c>
      <c r="D21" s="4">
        <f>IF(raw_result!D21="ดีขึ้น (ปวดน้อยลง รู้สึกสบายตัวขึ้น)",1,
IF(raw_result!D21="เท่าเดิม / เฉยๆ (ไม่เห็นความเปลี่ยนแปลง)",2,
IF(raw_result!D21="แย่ลง (ปวดมากขึ้นกว่าเดิม)",3)))</f>
        <v>1</v>
      </c>
      <c r="E21" s="4">
        <f>IF(raw_result!E21="ไม่รู้ตัวเหมือนเดิม",1,
IF(raw_result!E21="รู้ตัวบ้างเป็นบางครั้ง",2,
IF(raw_result!E21="รู้ตัวได้ทันทีเมื่อเริ่มนั่งผิดท่า",3)))</f>
        <v>2</v>
      </c>
    </row>
    <row r="22" spans="1:5" x14ac:dyDescent="0.2">
      <c r="A22" s="4">
        <v>21</v>
      </c>
      <c r="B22" s="4">
        <f>IF(raw_result!B22="ปวดเล็กน้อย",1,
IF(raw_result!B22="ปวดปานกลาง",2,
IF(raw_result!B22="ปวดมาก",3)))</f>
        <v>2</v>
      </c>
      <c r="C22" s="4">
        <f>IF(raw_result!C22="ไม่รู้ตัวเลย",1,
IF(raw_result!C22="รู้ตัวบ้างเป็นบางครั้ง",2,
IF(raw_result!C22="รู้ตัวได้ทันทีเมื่อเริ่มนั่งผิดท่า",3)))</f>
        <v>1</v>
      </c>
      <c r="D22" s="4">
        <f>IF(raw_result!D22="ดีขึ้น (ปวดน้อยลง รู้สึกสบายตัวขึ้น)",1,
IF(raw_result!D22="เท่าเดิม / เฉยๆ (ไม่เห็นความเปลี่ยนแปลง)",2,
IF(raw_result!D22="แย่ลง (ปวดมากขึ้นกว่าเดิม)",3)))</f>
        <v>3</v>
      </c>
      <c r="E22" s="4">
        <f>IF(raw_result!E22="ไม่รู้ตัวเหมือนเดิม",1,
IF(raw_result!E22="รู้ตัวบ้างเป็นบางครั้ง",2,
IF(raw_result!E22="รู้ตัวได้ทันทีเมื่อเริ่มนั่งผิดท่า",3)))</f>
        <v>3</v>
      </c>
    </row>
    <row r="23" spans="1:5" x14ac:dyDescent="0.2">
      <c r="A23" s="4">
        <v>22</v>
      </c>
      <c r="B23" s="4">
        <f>IF(raw_result!B23="ปวดเล็กน้อย",1,
IF(raw_result!B23="ปวดปานกลาง",2,
IF(raw_result!B23="ปวดมาก",3)))</f>
        <v>2</v>
      </c>
      <c r="C23" s="4">
        <f>IF(raw_result!C23="ไม่รู้ตัวเลย",1,
IF(raw_result!C23="รู้ตัวบ้างเป็นบางครั้ง",2,
IF(raw_result!C23="รู้ตัวได้ทันทีเมื่อเริ่มนั่งผิดท่า",3)))</f>
        <v>1</v>
      </c>
      <c r="D23" s="4">
        <f>IF(raw_result!D23="ดีขึ้น (ปวดน้อยลง รู้สึกสบายตัวขึ้น)",1,
IF(raw_result!D23="เท่าเดิม / เฉยๆ (ไม่เห็นความเปลี่ยนแปลง)",2,
IF(raw_result!D23="แย่ลง (ปวดมากขึ้นกว่าเดิม)",3)))</f>
        <v>1</v>
      </c>
      <c r="E23" s="4">
        <f>IF(raw_result!E23="ไม่รู้ตัวเหมือนเดิม",1,
IF(raw_result!E23="รู้ตัวบ้างเป็นบางครั้ง",2,
IF(raw_result!E23="รู้ตัวได้ทันทีเมื่อเริ่มนั่งผิดท่า",3)))</f>
        <v>2</v>
      </c>
    </row>
    <row r="24" spans="1:5" x14ac:dyDescent="0.2">
      <c r="A24" s="4">
        <v>23</v>
      </c>
      <c r="B24" s="4">
        <f>IF(raw_result!B24="ปวดเล็กน้อย",1,
IF(raw_result!B24="ปวดปานกลาง",2,
IF(raw_result!B24="ปวดมาก",3)))</f>
        <v>2</v>
      </c>
      <c r="C24" s="4">
        <f>IF(raw_result!C24="ไม่รู้ตัวเลย",1,
IF(raw_result!C24="รู้ตัวบ้างเป็นบางครั้ง",2,
IF(raw_result!C24="รู้ตัวได้ทันทีเมื่อเริ่มนั่งผิดท่า",3)))</f>
        <v>2</v>
      </c>
      <c r="D24" s="4">
        <f>IF(raw_result!D24="ดีขึ้น (ปวดน้อยลง รู้สึกสบายตัวขึ้น)",1,
IF(raw_result!D24="เท่าเดิม / เฉยๆ (ไม่เห็นความเปลี่ยนแปลง)",2,
IF(raw_result!D24="แย่ลง (ปวดมากขึ้นกว่าเดิม)",3)))</f>
        <v>1</v>
      </c>
      <c r="E24" s="4">
        <f>IF(raw_result!E24="ไม่รู้ตัวเหมือนเดิม",1,
IF(raw_result!E24="รู้ตัวบ้างเป็นบางครั้ง",2,
IF(raw_result!E24="รู้ตัวได้ทันทีเมื่อเริ่มนั่งผิดท่า",3)))</f>
        <v>2</v>
      </c>
    </row>
    <row r="25" spans="1:5" x14ac:dyDescent="0.2">
      <c r="A25" s="4">
        <v>24</v>
      </c>
      <c r="B25" s="4">
        <f>IF(raw_result!B25="ปวดเล็กน้อย",1,
IF(raw_result!B25="ปวดปานกลาง",2,
IF(raw_result!B25="ปวดมาก",3)))</f>
        <v>2</v>
      </c>
      <c r="C25" s="4">
        <f>IF(raw_result!C25="ไม่รู้ตัวเลย",1,
IF(raw_result!C25="รู้ตัวบ้างเป็นบางครั้ง",2,
IF(raw_result!C25="รู้ตัวได้ทันทีเมื่อเริ่มนั่งผิดท่า",3)))</f>
        <v>2</v>
      </c>
      <c r="D25" s="4">
        <f>IF(raw_result!D25="ดีขึ้น (ปวดน้อยลง รู้สึกสบายตัวขึ้น)",1,
IF(raw_result!D25="เท่าเดิม / เฉยๆ (ไม่เห็นความเปลี่ยนแปลง)",2,
IF(raw_result!D25="แย่ลง (ปวดมากขึ้นกว่าเดิม)",3)))</f>
        <v>1</v>
      </c>
      <c r="E25" s="4">
        <f>IF(raw_result!E25="ไม่รู้ตัวเหมือนเดิม",1,
IF(raw_result!E25="รู้ตัวบ้างเป็นบางครั้ง",2,
IF(raw_result!E25="รู้ตัวได้ทันทีเมื่อเริ่มนั่งผิดท่า",3)))</f>
        <v>3</v>
      </c>
    </row>
    <row r="26" spans="1:5" x14ac:dyDescent="0.2">
      <c r="A26" s="4">
        <v>25</v>
      </c>
      <c r="B26" s="4">
        <f>IF(raw_result!B26="ปวดเล็กน้อย",1,
IF(raw_result!B26="ปวดปานกลาง",2,
IF(raw_result!B26="ปวดมาก",3)))</f>
        <v>2</v>
      </c>
      <c r="C26" s="4">
        <f>IF(raw_result!C26="ไม่รู้ตัวเลย",1,
IF(raw_result!C26="รู้ตัวบ้างเป็นบางครั้ง",2,
IF(raw_result!C26="รู้ตัวได้ทันทีเมื่อเริ่มนั่งผิดท่า",3)))</f>
        <v>1</v>
      </c>
      <c r="D26" s="4">
        <f>IF(raw_result!D26="ดีขึ้น (ปวดน้อยลง รู้สึกสบายตัวขึ้น)",1,
IF(raw_result!D26="เท่าเดิม / เฉยๆ (ไม่เห็นความเปลี่ยนแปลง)",2,
IF(raw_result!D26="แย่ลง (ปวดมากขึ้นกว่าเดิม)",3)))</f>
        <v>1</v>
      </c>
      <c r="E26" s="4">
        <f>IF(raw_result!E26="ไม่รู้ตัวเหมือนเดิม",1,
IF(raw_result!E26="รู้ตัวบ้างเป็นบางครั้ง",2,
IF(raw_result!E26="รู้ตัวได้ทันทีเมื่อเริ่มนั่งผิดท่า",3)))</f>
        <v>2</v>
      </c>
    </row>
    <row r="27" spans="1:5" x14ac:dyDescent="0.2">
      <c r="A27" s="4">
        <v>26</v>
      </c>
      <c r="B27" s="4" t="b">
        <f>IF(raw_result!B27="ปวดเล็กน้อย",1,
IF(raw_result!B27="ปวดปานกลาง",2,
IF(raw_result!B27="ปวดมาก",3)))</f>
        <v>0</v>
      </c>
      <c r="C27" s="4" t="b">
        <f>IF(raw_result!C27="ไม่รู้ตัวเลย",1,
IF(raw_result!C27="รู้ตัวบ้างเป็นบางครั้ง",2,
IF(raw_result!C27="รู้ตัวได้ทันทีเมื่อเริ่มนั่งผิดท่า",3)))</f>
        <v>0</v>
      </c>
      <c r="D27" s="4" t="b">
        <f>IF(raw_result!D27="ดีขึ้น (ปวดน้อยลง รู้สึกสบายตัวขึ้น)",1,
IF(raw_result!D27="เท่าเดิม / เฉยๆ (ไม่เห็นความเปลี่ยนแปลง)",2,
IF(raw_result!D27="แย่ลง (ปวดมากขึ้นกว่าเดิม)",3)))</f>
        <v>0</v>
      </c>
      <c r="E27" s="4" t="b">
        <f>IF(raw_result!E27="ไม่รู้ตัวเหมือนเดิม",1,
IF(raw_result!E27="รู้ตัวบ้างเป็นบางครั้ง",2,
IF(raw_result!E27="รู้ตัวได้ทันทีเมื่อเริ่มนั่งผิดท่า",3)))</f>
        <v>0</v>
      </c>
    </row>
    <row r="28" spans="1:5" x14ac:dyDescent="0.2">
      <c r="A28" s="4">
        <v>27</v>
      </c>
      <c r="B28" s="4" t="b">
        <f>IF(raw_result!B28="ปวดเล็กน้อย",1,
IF(raw_result!B28="ปวดปานกลาง",2,
IF(raw_result!B28="ปวดมาก",3)))</f>
        <v>0</v>
      </c>
      <c r="C28" s="4" t="b">
        <f>IF(raw_result!C28="ไม่รู้ตัวเลย",1,
IF(raw_result!C28="รู้ตัวบ้างเป็นบางครั้ง",2,
IF(raw_result!C28="รู้ตัวได้ทันทีเมื่อเริ่มนั่งผิดท่า",3)))</f>
        <v>0</v>
      </c>
      <c r="D28" s="4" t="b">
        <f>IF(raw_result!D28="ดีขึ้น (ปวดน้อยลง รู้สึกสบายตัวขึ้น)",1,
IF(raw_result!D28="เท่าเดิม / เฉยๆ (ไม่เห็นความเปลี่ยนแปลง)",2,
IF(raw_result!D28="แย่ลง (ปวดมากขึ้นกว่าเดิม)",3)))</f>
        <v>0</v>
      </c>
      <c r="E28" s="4" t="b">
        <f>IF(raw_result!E28="ไม่รู้ตัวเหมือนเดิม",1,
IF(raw_result!E28="รู้ตัวบ้างเป็นบางครั้ง",2,
IF(raw_result!E28="รู้ตัวได้ทันทีเมื่อเริ่มนั่งผิดท่า",3)))</f>
        <v>0</v>
      </c>
    </row>
    <row r="29" spans="1:5" x14ac:dyDescent="0.2">
      <c r="A29" s="4">
        <v>28</v>
      </c>
      <c r="B29" s="4" t="b">
        <f>IF(raw_result!B29="ปวดเล็กน้อย",1,
IF(raw_result!B29="ปวดปานกลาง",2,
IF(raw_result!B29="ปวดมาก",3)))</f>
        <v>0</v>
      </c>
      <c r="C29" s="4" t="b">
        <f>IF(raw_result!C29="ไม่รู้ตัวเลย",1,
IF(raw_result!C29="รู้ตัวบ้างเป็นบางครั้ง",2,
IF(raw_result!C29="รู้ตัวได้ทันทีเมื่อเริ่มนั่งผิดท่า",3)))</f>
        <v>0</v>
      </c>
      <c r="D29" s="4" t="b">
        <f>IF(raw_result!D29="ดีขึ้น (ปวดน้อยลง รู้สึกสบายตัวขึ้น)",1,
IF(raw_result!D29="เท่าเดิม / เฉยๆ (ไม่เห็นความเปลี่ยนแปลง)",2,
IF(raw_result!D29="แย่ลง (ปวดมากขึ้นกว่าเดิม)",3)))</f>
        <v>0</v>
      </c>
      <c r="E29" s="4" t="b">
        <f>IF(raw_result!E29="ไม่รู้ตัวเหมือนเดิม",1,
IF(raw_result!E29="รู้ตัวบ้างเป็นบางครั้ง",2,
IF(raw_result!E29="รู้ตัวได้ทันทีเมื่อเริ่มนั่งผิดท่า",3)))</f>
        <v>0</v>
      </c>
    </row>
    <row r="30" spans="1:5" x14ac:dyDescent="0.2">
      <c r="A30" s="4">
        <v>29</v>
      </c>
      <c r="B30" s="4" t="b">
        <f>IF(raw_result!B30="ปวดเล็กน้อย",1,
IF(raw_result!B30="ปวดปานกลาง",2,
IF(raw_result!B30="ปวดมาก",3)))</f>
        <v>0</v>
      </c>
      <c r="C30" s="4" t="b">
        <f>IF(raw_result!C30="ไม่รู้ตัวเลย",1,
IF(raw_result!C30="รู้ตัวบ้างเป็นบางครั้ง",2,
IF(raw_result!C30="รู้ตัวได้ทันทีเมื่อเริ่มนั่งผิดท่า",3)))</f>
        <v>0</v>
      </c>
      <c r="D30" s="4" t="b">
        <f>IF(raw_result!D30="ดีขึ้น (ปวดน้อยลง รู้สึกสบายตัวขึ้น)",1,
IF(raw_result!D30="เท่าเดิม / เฉยๆ (ไม่เห็นความเปลี่ยนแปลง)",2,
IF(raw_result!D30="แย่ลง (ปวดมากขึ้นกว่าเดิม)",3)))</f>
        <v>0</v>
      </c>
      <c r="E30" s="4" t="b">
        <f>IF(raw_result!E30="ไม่รู้ตัวเหมือนเดิม",1,
IF(raw_result!E30="รู้ตัวบ้างเป็นบางครั้ง",2,
IF(raw_result!E30="รู้ตัวได้ทันทีเมื่อเริ่มนั่งผิดท่า",3)))</f>
        <v>0</v>
      </c>
    </row>
    <row r="31" spans="1:5" x14ac:dyDescent="0.2">
      <c r="A31" s="4">
        <v>30</v>
      </c>
      <c r="B31" s="4" t="b">
        <f>IF(raw_result!B31="ปวดเล็กน้อย",1,
IF(raw_result!B31="ปวดปานกลาง",2,
IF(raw_result!B31="ปวดมาก",3)))</f>
        <v>0</v>
      </c>
      <c r="C31" s="4" t="b">
        <f>IF(raw_result!C31="ไม่รู้ตัวเลย",1,
IF(raw_result!C31="รู้ตัวบ้างเป็นบางครั้ง",2,
IF(raw_result!C31="รู้ตัวได้ทันทีเมื่อเริ่มนั่งผิดท่า",3)))</f>
        <v>0</v>
      </c>
      <c r="D31" s="4" t="b">
        <f>IF(raw_result!D31="ดีขึ้น (ปวดน้อยลง รู้สึกสบายตัวขึ้น)",1,
IF(raw_result!D31="เท่าเดิม / เฉยๆ (ไม่เห็นความเปลี่ยนแปลง)",2,
IF(raw_result!D31="แย่ลง (ปวดมากขึ้นกว่าเดิม)",3)))</f>
        <v>0</v>
      </c>
      <c r="E31" s="4" t="b">
        <f>IF(raw_result!E31="ไม่รู้ตัวเหมือนเดิม",1,
IF(raw_result!E31="รู้ตัวบ้างเป็นบางครั้ง",2,
IF(raw_result!E31="รู้ตัวได้ทันทีเมื่อเริ่มนั่งผิดท่า",3)))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raw_result</vt:lpstr>
      <vt:lpstr>graph</vt:lpstr>
      <vt:lpstr>pre-post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2026-03-22T17:15:42Z</dcterms:created>
  <dcterms:modified xsi:type="dcterms:W3CDTF">2026-03-30T14:21:59Z</dcterms:modified>
</cp:coreProperties>
</file>