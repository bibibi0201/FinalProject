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Final_Project\data\"/>
    </mc:Choice>
  </mc:AlternateContent>
  <xr:revisionPtr revIDLastSave="0" documentId="13_ncr:1_{9CA3547A-1412-44B3-8CFC-D3A733BD7C2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orm Responses 1" sheetId="1" r:id="rId1"/>
    <sheet name="total" sheetId="2" r:id="rId2"/>
    <sheet name="Sheet1" sheetId="6" r:id="rId3"/>
    <sheet name="score1" sheetId="3" r:id="rId4"/>
    <sheet name="score2" sheetId="4" r:id="rId5"/>
    <sheet name="score3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4" i="5" l="1"/>
  <c r="C64" i="5"/>
  <c r="M32" i="5"/>
  <c r="H32" i="5"/>
  <c r="C32" i="5"/>
  <c r="H64" i="4"/>
  <c r="C64" i="4"/>
  <c r="M32" i="4"/>
  <c r="H32" i="4"/>
  <c r="C32" i="4"/>
  <c r="H64" i="3"/>
  <c r="C64" i="3"/>
  <c r="M32" i="3"/>
  <c r="H32" i="3"/>
  <c r="C32" i="3"/>
  <c r="C2" i="3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34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34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34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3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34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34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B14" i="2" l="1"/>
  <c r="C14" i="2" s="1"/>
  <c r="B4" i="2"/>
  <c r="C4" i="2" s="1"/>
  <c r="B3" i="2"/>
  <c r="B6" i="2"/>
  <c r="C6" i="2" s="1"/>
  <c r="B5" i="2"/>
  <c r="C5" i="2" s="1"/>
  <c r="B19" i="2"/>
  <c r="C19" i="2" s="1"/>
  <c r="B11" i="2"/>
  <c r="C11" i="2" s="1"/>
  <c r="B7" i="2"/>
  <c r="C7" i="2" s="1"/>
  <c r="B18" i="2"/>
  <c r="C18" i="2" s="1"/>
  <c r="B12" i="2"/>
  <c r="C12" i="2" s="1"/>
  <c r="B17" i="2"/>
  <c r="B21" i="2"/>
  <c r="C21" i="2" s="1"/>
  <c r="B13" i="2"/>
  <c r="C13" i="2" s="1"/>
  <c r="B20" i="2"/>
  <c r="C20" i="2" s="1"/>
  <c r="C3" i="2"/>
  <c r="B10" i="2"/>
  <c r="B22" i="2" l="1"/>
  <c r="C22" i="2" s="1"/>
  <c r="C4" i="6" s="1"/>
  <c r="B15" i="2"/>
  <c r="B3" i="6" s="1"/>
  <c r="B8" i="2"/>
  <c r="C10" i="2"/>
  <c r="C17" i="2"/>
  <c r="B4" i="6" l="1"/>
  <c r="C15" i="2"/>
  <c r="C3" i="6" s="1"/>
  <c r="C8" i="2"/>
  <c r="C2" i="6" s="1"/>
  <c r="B2" i="6"/>
</calcChain>
</file>

<file path=xl/sharedStrings.xml><?xml version="1.0" encoding="utf-8"?>
<sst xmlns="http://schemas.openxmlformats.org/spreadsheetml/2006/main" count="1035" uniqueCount="153">
  <si>
    <t>Timestamp</t>
  </si>
  <si>
    <t>เพศสภาพร่างกาย</t>
  </si>
  <si>
    <t>อายุ</t>
  </si>
  <si>
    <t>ส่วนสูง (cm.) ตัวอย่าง 170</t>
  </si>
  <si>
    <t xml:space="preserve">น้ำหนัก (Kg.) ตัวอย่าง 70 </t>
  </si>
  <si>
    <t>ค่าองศาเริ่มต้นที่วัด Pitch และ Roll ของท่าน ตัวอย่าง p(pitch) = x.xx , r(Roll) = x.xx</t>
  </si>
  <si>
    <t>โดยปกติคุณนั่งทำงาน/เรียนหน้าคอมพิวเตอร์เฉลี่ยวันละกี่ชั่วโมง?</t>
  </si>
  <si>
    <t>คุณมีอาการปวดหลัง คอ บ่า ไหล่ (Office Syndrome) เป็นประจำหรือไม่?</t>
  </si>
  <si>
    <t>ท่านยินยอมให้เก็บรวบรวมและใช้ข้อมูลส่วนบุคคลของท่านหรือไม่?</t>
  </si>
  <si>
    <t>ด้านที่ 1 : อุปกรณ์ฮาร์ดแวร์ (Hardware &amp; Sensor) [ขนาดและน้ำหนักของอุปกรณ์มีความกะทัดรัด ไม่เกะกะ]</t>
  </si>
  <si>
    <t>ด้านที่ 1 : อุปกรณ์ฮาร์ดแวร์ (Hardware &amp; Sensor) [อุปกรณ์สามารถสวมใส่ หรือติดตั้งใช้งานได้ง่าย ไม่ซับซ้อน]</t>
  </si>
  <si>
    <t>ด้านที่ 1 : อุปกรณ์ฮาร์ดแวร์ (Hardware &amp; Sensor) [ความรู้สึกสบายเมื่อต้องใช้งานอุปกรณ์ติดต่อกันเป็นเวลานาน]</t>
  </si>
  <si>
    <t>ด้านที่ 1 : อุปกรณ์ฮาร์ดแวร์ (Hardware &amp; Sensor) [อุปกรณ์ไม่ก่อให้เกิดความร้อนจนรบกวนการใช้งาน]</t>
  </si>
  <si>
    <t>ด้านที่ 1 : อุปกรณ์ฮาร์ดแวร์ (Hardware &amp; Sensor) [ความทนทานและรูปแบบการจัดเก็บสายไฟ/ตัวบอร์ด ดูปลอดภัยและเรียบร้อย]</t>
  </si>
  <si>
    <t>ด้านที่ 2: แอปพลิเคชันและการแสดงผล (Software &amp; User Interface) [การออกแบบหน้าจอแอปพลิเคชัน (UI) มีความสวยงาม ทันสมัย]</t>
  </si>
  <si>
    <t>ด้านที่ 2: แอปพลิเคชันและการแสดงผล (Software &amp; User Interface) [ความรวดเร็วของการคำนวณและแสดงผลคะแนนรวมของการนั่ง]</t>
  </si>
  <si>
    <t>ด้านที่ 2: แอปพลิเคชันและการแสดงผล (Software &amp; User Interface) [หน้าแสดงประวัติ (History) และการสรุปข้อมูล เข้าใจง่าย ช่วยให้ท่านเห็นแนวโน้มพฤติกรรมของตนเองได้ชัดเจน]</t>
  </si>
  <si>
    <t>ด้านที่ 2: แอปพลิเคชันและการแสดงผล (Software &amp; User Interface) [ข้อความคำแนะนำ (Advice) มีความเหมาะสม เข้าใจง่าย และน่าสนใจ]</t>
  </si>
  <si>
    <t>ด้านที่ 2: แอปพลิเคชันและการแสดงผล (Software &amp; User Interface) [ระดับภาษาที่ระบบใช้แจ้งเตือน (ชมเชย, แนะนำ, ตักเตือน) ช่วยสร้างแรงจูงใจได้ดี]</t>
  </si>
  <si>
    <t>ด้านที่ 3: ประโยชน์ต่อสุขภาพและการนำไปใช้งานจริง (Health Impact &amp; Practicality) [ระบบนี้ช่วยให้คุณตระหนักรู้ (Awareness) ถึงท่านั่งที่ผิดปกติของตนเองได้เร็วขึ้น]</t>
  </si>
  <si>
    <t>ด้านที่ 3: ประโยชน์ต่อสุขภาพและการนำไปใช้งานจริง (Health Impact &amp; Practicality) [ข้อความแจ้งเตือนช่วยกระตุ้นให้คุณอยากปรับเปลี่ยนท่านั่งให้ถูกต้อง]</t>
  </si>
  <si>
    <t>ด้านที่ 3: ประโยชน์ต่อสุขภาพและการนำไปใช้งานจริง (Health Impact &amp; Practicality) [หากใช้งานเป็นประจำ คุณเชื่อว่าระบบนี้จะช่วยลดอาการปวดหลัง/ออฟฟิศซินโดรมได้]</t>
  </si>
  <si>
    <t>ด้านที่ 3: ประโยชน์ต่อสุขภาพและการนำไปใช้งานจริง (Health Impact &amp; Practicality) [ความเหมาะสมของระบบนี้ในการนำไปใช้จริงในชีวิตประจำวัน (เวลาทำงาน/เรียน)]</t>
  </si>
  <si>
    <t>ด้านที่ 3: ประโยชน์ต่อสุขภาพและการนำไปใช้งานจริง (Health Impact &amp; Practicality) [ความพึงพอใจในภาพรวม]</t>
  </si>
  <si>
    <t>ข้อเสนอแนะ และปรับปรุง</t>
  </si>
  <si>
    <t>หญิง</t>
  </si>
  <si>
    <t>18-29 ปี</t>
  </si>
  <si>
    <t>p=55.60, r=-3.14</t>
  </si>
  <si>
    <t>มากกว่า 8 ชั่วโมง</t>
  </si>
  <si>
    <t>มี</t>
  </si>
  <si>
    <t>ยินยอม</t>
  </si>
  <si>
    <t>ดีเยี่ยม</t>
  </si>
  <si>
    <t>ปานกลาง</t>
  </si>
  <si>
    <t>ดี</t>
  </si>
  <si>
    <t>อุปกรณ์ใส่ยาก ตัวแอปตอนเริ่มต้นไม่รู้ว่าต้องกดตรงไหนก่อน</t>
  </si>
  <si>
    <t>ชาย</t>
  </si>
  <si>
    <t>P=69.00.r=-0.79</t>
  </si>
  <si>
    <t>4 - 8 ชั่วโมง</t>
  </si>
  <si>
    <t>เป็นบางครั้งบางคราว</t>
  </si>
  <si>
    <t>ใส่ยาก</t>
  </si>
  <si>
    <t>P=65.10, R=1.08</t>
  </si>
  <si>
    <t xml:space="preserve">อาจจะไม่เหมาะกับคนอ้วนเพราะมันทำให้เจ็บช่วงท้อง อาจจะใส่ยากสำหรับช่วงแรก </t>
  </si>
  <si>
    <t>45-59 ปี</t>
  </si>
  <si>
    <t>P=62.28,R=0.22</t>
  </si>
  <si>
    <t>อุปกรณ์ควรใช้ระบบเชื่อมต่อแบบไร้สาย
การใส่ควรให้สะดวกกว่านี้</t>
  </si>
  <si>
    <t>P=61.12,R=0.69</t>
  </si>
  <si>
    <t>P=57.23,R=-1.90</t>
  </si>
  <si>
    <t>น้อยกว่า 4 ชั่วโมง</t>
  </si>
  <si>
    <t>ไม่มี</t>
  </si>
  <si>
    <t>ไม่มีข้อเสนอแนะ</t>
  </si>
  <si>
    <t>60 ปีขึ้นไป</t>
  </si>
  <si>
    <t>p=75.62, r=0.86</t>
  </si>
  <si>
    <t>p=51.72, r=-0.50</t>
  </si>
  <si>
    <t>p(pitch)=54.98, r(Roll)=-4.29</t>
  </si>
  <si>
    <t>สายไฟค่อนข้างเกะกะ</t>
  </si>
  <si>
    <t>น้อย</t>
  </si>
  <si>
    <t>ปรับปรุง</t>
  </si>
  <si>
    <t>1. ขนาดและน้ำหนักของอุปกรณ์มีความกะทัดรัด ไม่เกะกะ</t>
  </si>
  <si>
    <t>Hardware</t>
  </si>
  <si>
    <t>2. อุปกรณ์สามารถสวมใส่ หรือติดตั้งใช้งานได้ง่าย ไม่ซับซ้อน</t>
  </si>
  <si>
    <t>3. ความรู้สึกสบายเมื่อต้องใช้งานอุปกรณ์ติดต่อกันเป็นเวลานาน</t>
  </si>
  <si>
    <t>4. อุปกรณ์ไม่ก่อให้เกิดความร้อนจนรบกวนการใช้งาน</t>
  </si>
  <si>
    <t>5. ความทนทานและรูปแบบการจัดเก็บสายไฟ/ตัวบอร์ด ดูปลอดภัยและเรียบร้อย</t>
  </si>
  <si>
    <t>Application</t>
  </si>
  <si>
    <t>1. การออกแบบหน้าจอแอปพลิเคชัน (UI) มีความสวยงาม ทันสมัย</t>
  </si>
  <si>
    <t>2. ความรวดเร็วของการคำนวณและแสดงผลคะแนนรวมของการนั่ง</t>
  </si>
  <si>
    <t xml:space="preserve">3. หน้าแสดงประวัติ (History) และการสรุปข้อมูล </t>
  </si>
  <si>
    <t>4. ข้อความคำแนะนำ (Advice) มีความเหมาะสม เข้าใจง่าย และน่าสนใจ</t>
  </si>
  <si>
    <t>5. ระดับภาษาที่ระบบใช้แจ้งเตือน (ชมเชย, แนะนำ, ตักเตือน) ช่วยสร้างแรงจูงใจได้ดี</t>
  </si>
  <si>
    <t>Health</t>
  </si>
  <si>
    <t>1. ระบบนี้ช่วยให้คุณตระหนักรู้ (Awareness) ถึงท่านั่งที่ผิดปกติของตนเองได้เร็วขึ้น</t>
  </si>
  <si>
    <t>2. ข้อความแจ้งเตือนช่วยกระตุ้นให้คุณอยากปรับเปลี่ยนท่านั่งให้ถูกต้อง</t>
  </si>
  <si>
    <t>3. หากใช้งานเป็นประจำ คุณเชื่อว่าระบบนี้จะช่วยลดอาการปวดหลัง/ออฟฟิศซินโดรมได้</t>
  </si>
  <si>
    <t>4. ความเหมาะสมของระบบนี้ในการนำไปใช้จริงในชีวิตประจำวัน (เวลาทำงาน/เรียน)</t>
  </si>
  <si>
    <t>5. ความพึงพอใจในภาพรวม</t>
  </si>
  <si>
    <t>ข้อที่</t>
  </si>
  <si>
    <t>จำนวนคน</t>
  </si>
  <si>
    <t>คะแนน</t>
  </si>
  <si>
    <t>ค่าเฉลี่ย</t>
  </si>
  <si>
    <t>คนที่ 1</t>
  </si>
  <si>
    <t>คนที่ 2</t>
  </si>
  <si>
    <t>คนที่ 3</t>
  </si>
  <si>
    <t>คนที่ 4</t>
  </si>
  <si>
    <t>คนที่ 5</t>
  </si>
  <si>
    <t>คนที่ 6</t>
  </si>
  <si>
    <t>คนที่ 7</t>
  </si>
  <si>
    <t>คนที่ 8</t>
  </si>
  <si>
    <t>คนที่ 9</t>
  </si>
  <si>
    <t>คนที่ 10</t>
  </si>
  <si>
    <t>คนที่ 11</t>
  </si>
  <si>
    <t>คนที่ 12</t>
  </si>
  <si>
    <t>คนที่ 13</t>
  </si>
  <si>
    <t>คนที่ 14</t>
  </si>
  <si>
    <t>คนที่ 15</t>
  </si>
  <si>
    <t>คนที่ 16</t>
  </si>
  <si>
    <t>คนที่ 17</t>
  </si>
  <si>
    <t>คนที่ 18</t>
  </si>
  <si>
    <t>คนที่ 19</t>
  </si>
  <si>
    <t>คนที่ 20</t>
  </si>
  <si>
    <t>คนที่ 21</t>
  </si>
  <si>
    <t>คนที่ 22</t>
  </si>
  <si>
    <t>คนที่ 23</t>
  </si>
  <si>
    <t>คนที่ 24</t>
  </si>
  <si>
    <t>คนที่ 25</t>
  </si>
  <si>
    <t>ค่าเฉลี่ยรวม</t>
  </si>
  <si>
    <t>ระดับ</t>
  </si>
  <si>
    <t>4.51-5.00</t>
  </si>
  <si>
    <t>3.51-4.50</t>
  </si>
  <si>
    <t>2.51-3.50</t>
  </si>
  <si>
    <t>1.51-2.50</t>
  </si>
  <si>
    <t>1.00-1.50</t>
  </si>
  <si>
    <t>หัวข้อผลการประเมิน</t>
  </si>
  <si>
    <t>ด้านอุปกรณ์ฮาร์ดแวร์</t>
  </si>
  <si>
    <t xml:space="preserve">ด้านแอปพลิเคชันและการแสดงผล </t>
  </si>
  <si>
    <t>ด้านประโยชน์ต่อสุขภาพและการนำไปใช้งานจริง</t>
  </si>
  <si>
    <t>3/26/2026 0:14:53</t>
  </si>
  <si>
    <t>p = 56.22 , r = 7.62</t>
  </si>
  <si>
    <t>3/26/2026 0:16:51</t>
  </si>
  <si>
    <t>p =39.73 ,r = 6.73</t>
  </si>
  <si>
    <t>3/26/2026 0:50:10</t>
  </si>
  <si>
    <t>p33.8 r17.67</t>
  </si>
  <si>
    <t>3/27/2026 1:57:17</t>
  </si>
  <si>
    <t>30-44 ปี</t>
  </si>
  <si>
    <t>p=56.31 ,r=-0.98</t>
  </si>
  <si>
    <t>อุปกรณ์ใส่ยาก</t>
  </si>
  <si>
    <t>3/27/2026 1:57:58</t>
  </si>
  <si>
    <t>p=52.09, r=-1.28</t>
  </si>
  <si>
    <t>3/27/2026 2:21:21</t>
  </si>
  <si>
    <t>P=56.73 R0.34</t>
  </si>
  <si>
    <t>ใส่ยากนิดนึง</t>
  </si>
  <si>
    <t>3/27/2026 11:26:16</t>
  </si>
  <si>
    <t>P=62.65 R=1.46</t>
  </si>
  <si>
    <t>-</t>
  </si>
  <si>
    <t>3/27/2026 14:17:58</t>
  </si>
  <si>
    <t>P(pitch)=27.32788, r(roll)=8.112443</t>
  </si>
  <si>
    <t>3/27/2026 14:21:04</t>
  </si>
  <si>
    <t>P(pitch)=51.2497, r(roll)=2.95061</t>
  </si>
  <si>
    <t>3/27/2026 19:33:22</t>
  </si>
  <si>
    <t>P=67.94 R=-1.23</t>
  </si>
  <si>
    <t>3/27/2026 20:02:41</t>
  </si>
  <si>
    <t>P= 77.85 , R=0.92</t>
  </si>
  <si>
    <t>ค่ามัธยฐาน</t>
  </si>
  <si>
    <t>3/30/2026 18:42:24</t>
  </si>
  <si>
    <t>6.2 , 1.69</t>
  </si>
  <si>
    <t>3/30/2026 18:44:51</t>
  </si>
  <si>
    <t>4.4 , 4.03</t>
  </si>
  <si>
    <t>3/30/2026 18:46:59</t>
  </si>
  <si>
    <t>5.78 , 0.01</t>
  </si>
  <si>
    <t>3/30/2026 20:06:49</t>
  </si>
  <si>
    <t>0,0</t>
  </si>
  <si>
    <t>การใส่ค่อนข้างยาก</t>
  </si>
  <si>
    <t>3/30/2026 21:14:07</t>
  </si>
  <si>
    <t>59.7,-2.5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</si>
</sst>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7" formatCode="m/d/yyyy\ h:mm:ss"/>
    <numFmt numFmtId="188" formatCode="0.0000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/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/>
      <diagonal/>
    </border>
    <border>
      <left style="medium">
        <color rgb="FF442F65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8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8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0" fillId="3" borderId="0" xfId="0" applyFont="1" applyFill="1" applyAlignment="1"/>
    <xf numFmtId="188" fontId="0" fillId="0" borderId="0" xfId="0" applyNumberFormat="1" applyFont="1" applyAlignment="1"/>
    <xf numFmtId="0" fontId="3" fillId="4" borderId="0" xfId="0" applyFont="1" applyFill="1" applyAlignment="1"/>
    <xf numFmtId="188" fontId="3" fillId="4" borderId="0" xfId="0" applyNumberFormat="1" applyFont="1" applyFill="1" applyAlignment="1"/>
    <xf numFmtId="188" fontId="0" fillId="0" borderId="0" xfId="0" applyNumberFormat="1" applyFont="1" applyFill="1" applyAlignment="1"/>
    <xf numFmtId="0" fontId="4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88" fontId="4" fillId="0" borderId="0" xfId="0" applyNumberFormat="1" applyFont="1" applyFill="1" applyAlignment="1">
      <alignment horizontal="center" vertical="center"/>
    </xf>
    <xf numFmtId="188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5" fillId="5" borderId="1" xfId="0" applyFon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right" vertical="center" wrapText="1"/>
    </xf>
    <xf numFmtId="0" fontId="4" fillId="5" borderId="3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4" fillId="6" borderId="6" xfId="0" applyFont="1" applyFill="1" applyBorder="1" applyAlignment="1">
      <alignment vertical="center" wrapText="1"/>
    </xf>
    <xf numFmtId="0" fontId="5" fillId="5" borderId="7" xfId="0" applyFont="1" applyFill="1" applyBorder="1" applyAlignment="1">
      <alignment horizontal="right" vertical="center" wrapText="1"/>
    </xf>
    <xf numFmtId="0" fontId="5" fillId="5" borderId="8" xfId="0" applyFont="1" applyFill="1" applyBorder="1" applyAlignment="1">
      <alignment vertical="center" wrapText="1"/>
    </xf>
    <xf numFmtId="0" fontId="5" fillId="5" borderId="8" xfId="0" applyFont="1" applyFill="1" applyBorder="1" applyAlignment="1">
      <alignment horizontal="right" vertical="center" wrapText="1"/>
    </xf>
    <xf numFmtId="0" fontId="4" fillId="5" borderId="6" xfId="0" applyFont="1" applyFill="1" applyBorder="1" applyAlignment="1">
      <alignment vertical="center" wrapText="1"/>
    </xf>
    <xf numFmtId="0" fontId="5" fillId="6" borderId="6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horizontal="right" vertical="center" wrapText="1"/>
    </xf>
    <xf numFmtId="0" fontId="4" fillId="5" borderId="11" xfId="0" applyFont="1" applyFill="1" applyBorder="1" applyAlignment="1">
      <alignment vertical="center" wrapText="1"/>
    </xf>
    <xf numFmtId="0" fontId="0" fillId="4" borderId="0" xfId="0" applyFont="1" applyFill="1" applyAlignment="1"/>
    <xf numFmtId="188" fontId="0" fillId="4" borderId="0" xfId="0" applyNumberFormat="1" applyFont="1" applyFill="1" applyAlignment="1"/>
    <xf numFmtId="0" fontId="4" fillId="0" borderId="0" xfId="0" applyFont="1" applyFill="1" applyAlignment="1"/>
    <xf numFmtId="0" fontId="5" fillId="6" borderId="12" xfId="0" applyFont="1" applyFill="1" applyBorder="1" applyAlignment="1">
      <alignment horizontal="right" vertical="center" wrapText="1"/>
    </xf>
    <xf numFmtId="0" fontId="5" fillId="6" borderId="13" xfId="0" applyFont="1" applyFill="1" applyBorder="1" applyAlignment="1">
      <alignment vertical="center" wrapText="1"/>
    </xf>
    <xf numFmtId="0" fontId="5" fillId="6" borderId="13" xfId="0" applyFont="1" applyFill="1" applyBorder="1" applyAlignment="1">
      <alignment horizontal="right" vertical="center" wrapText="1"/>
    </xf>
    <xf numFmtId="0" fontId="4" fillId="6" borderId="3" xfId="0" applyFont="1" applyFill="1" applyBorder="1" applyAlignment="1">
      <alignment vertical="center" wrapText="1"/>
    </xf>
    <xf numFmtId="0" fontId="5" fillId="6" borderId="14" xfId="0" applyFont="1" applyFill="1" applyBorder="1" applyAlignment="1">
      <alignment horizontal="right" vertical="center" wrapText="1"/>
    </xf>
    <xf numFmtId="0" fontId="5" fillId="6" borderId="15" xfId="0" applyFont="1" applyFill="1" applyBorder="1" applyAlignment="1">
      <alignment vertical="center" wrapText="1"/>
    </xf>
    <xf numFmtId="0" fontId="5" fillId="6" borderId="15" xfId="0" applyFont="1" applyFill="1" applyBorder="1" applyAlignment="1">
      <alignment horizontal="right" vertical="center" wrapText="1"/>
    </xf>
    <xf numFmtId="0" fontId="4" fillId="6" borderId="11" xfId="0" applyFont="1" applyFill="1" applyBorder="1" applyAlignment="1">
      <alignment vertical="center" wrapText="1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ผลการประเมินผู้ใช้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>
        <c:manualLayout>
          <c:layoutTarget val="inner"/>
          <c:xMode val="edge"/>
          <c:yMode val="edge"/>
          <c:x val="6.8961746815094913E-2"/>
          <c:y val="0.12310312125094917"/>
          <c:w val="0.87489790595724748"/>
          <c:h val="0.735305600336817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ด้านอุปกรณ์ฮาร์ดแวร์</c:v>
                </c:pt>
                <c:pt idx="1">
                  <c:v>ด้านแอปพลิเคชันและการแสดงผล </c:v>
                </c:pt>
                <c:pt idx="2">
                  <c:v>ด้านประโยชน์ต่อสุขภาพและการนำไปใช้งานจริง</c:v>
                </c:pt>
              </c:strCache>
            </c:strRef>
          </c:cat>
          <c:val>
            <c:numRef>
              <c:f>Sheet1!$B$2:$B$4</c:f>
              <c:numCache>
                <c:formatCode>0.0000</c:formatCode>
                <c:ptCount val="3"/>
                <c:pt idx="0">
                  <c:v>4</c:v>
                </c:pt>
                <c:pt idx="1">
                  <c:v>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98-4CDD-93D2-C194084BC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502448"/>
        <c:axId val="691504112"/>
      </c:barChart>
      <c:catAx>
        <c:axId val="69150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91504112"/>
        <c:crosses val="autoZero"/>
        <c:auto val="1"/>
        <c:lblAlgn val="ctr"/>
        <c:lblOffset val="100"/>
        <c:noMultiLvlLbl val="0"/>
      </c:catAx>
      <c:valAx>
        <c:axId val="691504112"/>
        <c:scaling>
          <c:orientation val="minMax"/>
          <c:max val="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69150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403411</xdr:colOff>
      <xdr:row>2</xdr:row>
      <xdr:rowOff>173935</xdr:rowOff>
    </xdr:from>
    <xdr:to>
      <xdr:col>19</xdr:col>
      <xdr:colOff>140804</xdr:colOff>
      <xdr:row>30</xdr:row>
      <xdr:rowOff>53885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6F6A757-46DF-441F-AB80-BC53A0A4E7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Y26">
  <tableColumns count="25">
    <tableColumn id="1" xr3:uid="{00000000-0010-0000-0000-000001000000}" name="Timestamp"/>
    <tableColumn id="2" xr3:uid="{00000000-0010-0000-0000-000002000000}" name="เพศสภาพร่างกาย"/>
    <tableColumn id="3" xr3:uid="{00000000-0010-0000-0000-000003000000}" name="อายุ"/>
    <tableColumn id="4" xr3:uid="{00000000-0010-0000-0000-000004000000}" name="ส่วนสูง (cm.) ตัวอย่าง 170"/>
    <tableColumn id="5" xr3:uid="{00000000-0010-0000-0000-000005000000}" name="น้ำหนัก (Kg.) ตัวอย่าง 70 "/>
    <tableColumn id="6" xr3:uid="{00000000-0010-0000-0000-000006000000}" name="ค่าองศาเริ่มต้นที่วัด Pitch และ Roll ของท่าน ตัวอย่าง p(pitch) = x.xx , r(Roll) = x.xx"/>
    <tableColumn id="7" xr3:uid="{00000000-0010-0000-0000-000007000000}" name="โดยปกติคุณนั่งทำงาน/เรียนหน้าคอมพิวเตอร์เฉลี่ยวันละกี่ชั่วโมง?"/>
    <tableColumn id="8" xr3:uid="{00000000-0010-0000-0000-000008000000}" name="คุณมีอาการปวดหลัง คอ บ่า ไหล่ (Office Syndrome) เป็นประจำหรือไม่?"/>
    <tableColumn id="9" xr3:uid="{00000000-0010-0000-0000-000009000000}" name="ท่านยินยอมให้เก็บรวบรวมและใช้ข้อมูลส่วนบุคคลของท่านหรือไม่?"/>
    <tableColumn id="10" xr3:uid="{00000000-0010-0000-0000-00000A000000}" name="ด้านที่ 1 : อุปกรณ์ฮาร์ดแวร์ (Hardware &amp; Sensor) [ขนาดและน้ำหนักของอุปกรณ์มีความกะทัดรัด ไม่เกะกะ]"/>
    <tableColumn id="11" xr3:uid="{00000000-0010-0000-0000-00000B000000}" name="ด้านที่ 1 : อุปกรณ์ฮาร์ดแวร์ (Hardware &amp; Sensor) [อุปกรณ์สามารถสวมใส่ หรือติดตั้งใช้งานได้ง่าย ไม่ซับซ้อน]"/>
    <tableColumn id="12" xr3:uid="{00000000-0010-0000-0000-00000C000000}" name="ด้านที่ 1 : อุปกรณ์ฮาร์ดแวร์ (Hardware &amp; Sensor) [ความรู้สึกสบายเมื่อต้องใช้งานอุปกรณ์ติดต่อกันเป็นเวลานาน]"/>
    <tableColumn id="13" xr3:uid="{00000000-0010-0000-0000-00000D000000}" name="ด้านที่ 1 : อุปกรณ์ฮาร์ดแวร์ (Hardware &amp; Sensor) [อุปกรณ์ไม่ก่อให้เกิดความร้อนจนรบกวนการใช้งาน]"/>
    <tableColumn id="14" xr3:uid="{00000000-0010-0000-0000-00000E000000}" name="ด้านที่ 1 : อุปกรณ์ฮาร์ดแวร์ (Hardware &amp; Sensor) [ความทนทานและรูปแบบการจัดเก็บสายไฟ/ตัวบอร์ด ดูปลอดภัยและเรียบร้อย]"/>
    <tableColumn id="15" xr3:uid="{00000000-0010-0000-0000-00000F000000}" name="ด้านที่ 2: แอปพลิเคชันและการแสดงผล (Software &amp; User Interface) [การออกแบบหน้าจอแอปพลิเคชัน (UI) มีความสวยงาม ทันสมัย]"/>
    <tableColumn id="16" xr3:uid="{00000000-0010-0000-0000-000010000000}" name="ด้านที่ 2: แอปพลิเคชันและการแสดงผล (Software &amp; User Interface) [ความรวดเร็วของการคำนวณและแสดงผลคะแนนรวมของการนั่ง]"/>
    <tableColumn id="17" xr3:uid="{00000000-0010-0000-0000-000011000000}" name="ด้านที่ 2: แอปพลิเคชันและการแสดงผล (Software &amp; User Interface) [หน้าแสดงประวัติ (History) และการสรุปข้อมูล เข้าใจง่าย ช่วยให้ท่านเห็นแนวโน้มพฤติกรรมของตนเองได้ชัดเจน]"/>
    <tableColumn id="18" xr3:uid="{00000000-0010-0000-0000-000012000000}" name="ด้านที่ 2: แอปพลิเคชันและการแสดงผล (Software &amp; User Interface) [ข้อความคำแนะนำ (Advice) มีความเหมาะสม เข้าใจง่าย และน่าสนใจ]"/>
    <tableColumn id="19" xr3:uid="{00000000-0010-0000-0000-000013000000}" name="ด้านที่ 2: แอปพลิเคชันและการแสดงผล (Software &amp; User Interface) [ระดับภาษาที่ระบบใช้แจ้งเตือน (ชมเชย, แนะนำ, ตักเตือน) ช่วยสร้างแรงจูงใจได้ดี]"/>
    <tableColumn id="20" xr3:uid="{00000000-0010-0000-0000-000014000000}" name="ด้านที่ 3: ประโยชน์ต่อสุขภาพและการนำไปใช้งานจริง (Health Impact &amp; Practicality) [ระบบนี้ช่วยให้คุณตระหนักรู้ (Awareness) ถึงท่านั่งที่ผิดปกติของตนเองได้เร็วขึ้น]"/>
    <tableColumn id="21" xr3:uid="{00000000-0010-0000-0000-000015000000}" name="ด้านที่ 3: ประโยชน์ต่อสุขภาพและการนำไปใช้งานจริง (Health Impact &amp; Practicality) [ข้อความแจ้งเตือนช่วยกระตุ้นให้คุณอยากปรับเปลี่ยนท่านั่งให้ถูกต้อง]"/>
    <tableColumn id="22" xr3:uid="{00000000-0010-0000-0000-000016000000}" name="ด้านที่ 3: ประโยชน์ต่อสุขภาพและการนำไปใช้งานจริง (Health Impact &amp; Practicality) [หากใช้งานเป็นประจำ คุณเชื่อว่าระบบนี้จะช่วยลดอาการปวดหลัง/ออฟฟิศซินโดรมได้]"/>
    <tableColumn id="23" xr3:uid="{00000000-0010-0000-0000-000017000000}" name="ด้านที่ 3: ประโยชน์ต่อสุขภาพและการนำไปใช้งานจริง (Health Impact &amp; Practicality) [ความเหมาะสมของระบบนี้ในการนำไปใช้จริงในชีวิตประจำวัน (เวลาทำงาน/เรียน)]"/>
    <tableColumn id="24" xr3:uid="{00000000-0010-0000-0000-000018000000}" name="ด้านที่ 3: ประโยชน์ต่อสุขภาพและการนำไปใช้งานจริง (Health Impact &amp; Practicality) [ความพึงพอใจในภาพรวม]"/>
    <tableColumn id="25" xr3:uid="{00000000-0010-0000-0000-000019000000}" name="ข้อเสนอแนะ และปรับปรุง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6"/>
  <sheetViews>
    <sheetView zoomScale="85" zoomScaleNormal="85" workbookViewId="0">
      <pane ySplit="1" topLeftCell="A2" activePane="bottomLeft" state="frozen"/>
      <selection pane="bottomLeft" activeCell="B30" sqref="B30"/>
    </sheetView>
  </sheetViews>
  <sheetFormatPr defaultColWidth="12.5703125" defaultRowHeight="15.75" customHeight="1" x14ac:dyDescent="0.2"/>
  <cols>
    <col min="1" max="3" width="18.85546875" customWidth="1"/>
    <col min="4" max="4" width="24" customWidth="1"/>
    <col min="5" max="5" width="23.85546875" customWidth="1"/>
    <col min="6" max="24" width="37.5703125" customWidth="1"/>
    <col min="25" max="25" width="21" customWidth="1"/>
    <col min="26" max="31" width="18.85546875" customWidth="1"/>
  </cols>
  <sheetData>
    <row r="1" spans="1:2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" t="s">
        <v>24</v>
      </c>
    </row>
    <row r="2" spans="1:25" ht="22.5" customHeight="1" x14ac:dyDescent="0.2">
      <c r="A2" s="2">
        <v>46094.60533017361</v>
      </c>
      <c r="B2" s="3" t="s">
        <v>25</v>
      </c>
      <c r="C2" s="3" t="s">
        <v>26</v>
      </c>
      <c r="D2" s="3">
        <v>150</v>
      </c>
      <c r="E2" s="3">
        <v>80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31</v>
      </c>
      <c r="N2" s="3" t="s">
        <v>31</v>
      </c>
      <c r="O2" s="3" t="s">
        <v>33</v>
      </c>
      <c r="P2" s="3" t="s">
        <v>33</v>
      </c>
      <c r="Q2" s="3" t="s">
        <v>33</v>
      </c>
      <c r="R2" s="3" t="s">
        <v>33</v>
      </c>
      <c r="S2" s="3" t="s">
        <v>31</v>
      </c>
      <c r="T2" s="3" t="s">
        <v>33</v>
      </c>
      <c r="U2" s="3" t="s">
        <v>31</v>
      </c>
      <c r="V2" s="3" t="s">
        <v>33</v>
      </c>
      <c r="W2" s="3" t="s">
        <v>33</v>
      </c>
      <c r="X2" s="3" t="s">
        <v>33</v>
      </c>
      <c r="Y2" s="3" t="s">
        <v>34</v>
      </c>
    </row>
    <row r="3" spans="1:25" ht="22.5" customHeight="1" x14ac:dyDescent="0.2">
      <c r="A3" s="4">
        <v>46094.635243634257</v>
      </c>
      <c r="B3" s="5" t="s">
        <v>35</v>
      </c>
      <c r="C3" s="5" t="s">
        <v>26</v>
      </c>
      <c r="D3" s="5">
        <v>167</v>
      </c>
      <c r="E3" s="5">
        <v>70</v>
      </c>
      <c r="F3" s="5" t="s">
        <v>36</v>
      </c>
      <c r="G3" s="5" t="s">
        <v>37</v>
      </c>
      <c r="H3" s="5" t="s">
        <v>38</v>
      </c>
      <c r="I3" s="5" t="s">
        <v>30</v>
      </c>
      <c r="J3" s="5" t="s">
        <v>31</v>
      </c>
      <c r="K3" s="5" t="s">
        <v>33</v>
      </c>
      <c r="L3" s="5" t="s">
        <v>31</v>
      </c>
      <c r="M3" s="5" t="s">
        <v>31</v>
      </c>
      <c r="N3" s="5" t="s">
        <v>31</v>
      </c>
      <c r="O3" s="5" t="s">
        <v>33</v>
      </c>
      <c r="P3" s="5" t="s">
        <v>31</v>
      </c>
      <c r="Q3" s="5" t="s">
        <v>31</v>
      </c>
      <c r="R3" s="5" t="s">
        <v>31</v>
      </c>
      <c r="S3" s="5" t="s">
        <v>31</v>
      </c>
      <c r="T3" s="5" t="s">
        <v>33</v>
      </c>
      <c r="U3" s="5" t="s">
        <v>33</v>
      </c>
      <c r="V3" s="5" t="s">
        <v>31</v>
      </c>
      <c r="W3" s="5" t="s">
        <v>31</v>
      </c>
      <c r="X3" s="5" t="s">
        <v>33</v>
      </c>
      <c r="Y3" s="5" t="s">
        <v>39</v>
      </c>
    </row>
    <row r="4" spans="1:25" ht="22.5" customHeight="1" x14ac:dyDescent="0.2">
      <c r="A4" s="4">
        <v>46094.677230208334</v>
      </c>
      <c r="B4" s="5" t="s">
        <v>25</v>
      </c>
      <c r="C4" s="5" t="s">
        <v>26</v>
      </c>
      <c r="D4" s="5">
        <v>160</v>
      </c>
      <c r="E4" s="5">
        <v>100</v>
      </c>
      <c r="F4" s="5" t="s">
        <v>40</v>
      </c>
      <c r="G4" s="5" t="s">
        <v>28</v>
      </c>
      <c r="H4" s="5" t="s">
        <v>29</v>
      </c>
      <c r="I4" s="5" t="s">
        <v>30</v>
      </c>
      <c r="J4" s="5" t="s">
        <v>33</v>
      </c>
      <c r="K4" s="5" t="s">
        <v>33</v>
      </c>
      <c r="L4" s="5" t="s">
        <v>32</v>
      </c>
      <c r="M4" s="5" t="s">
        <v>31</v>
      </c>
      <c r="N4" s="5" t="s">
        <v>31</v>
      </c>
      <c r="O4" s="5" t="s">
        <v>31</v>
      </c>
      <c r="P4" s="5" t="s">
        <v>33</v>
      </c>
      <c r="Q4" s="5" t="s">
        <v>33</v>
      </c>
      <c r="R4" s="5" t="s">
        <v>31</v>
      </c>
      <c r="S4" s="5" t="s">
        <v>31</v>
      </c>
      <c r="T4" s="5" t="s">
        <v>33</v>
      </c>
      <c r="U4" s="5" t="s">
        <v>31</v>
      </c>
      <c r="V4" s="5" t="s">
        <v>31</v>
      </c>
      <c r="W4" s="5" t="s">
        <v>33</v>
      </c>
      <c r="X4" s="5" t="s">
        <v>31</v>
      </c>
      <c r="Y4" s="5" t="s">
        <v>41</v>
      </c>
    </row>
    <row r="5" spans="1:25" ht="22.5" customHeight="1" x14ac:dyDescent="0.2">
      <c r="A5" s="4">
        <v>46094.824250925929</v>
      </c>
      <c r="B5" s="5" t="s">
        <v>25</v>
      </c>
      <c r="C5" s="5" t="s">
        <v>42</v>
      </c>
      <c r="D5" s="5">
        <v>150</v>
      </c>
      <c r="E5" s="5">
        <v>48</v>
      </c>
      <c r="F5" s="5" t="s">
        <v>43</v>
      </c>
      <c r="G5" s="5" t="s">
        <v>37</v>
      </c>
      <c r="H5" s="5" t="s">
        <v>38</v>
      </c>
      <c r="I5" s="5" t="s">
        <v>30</v>
      </c>
      <c r="J5" s="5" t="s">
        <v>33</v>
      </c>
      <c r="K5" s="5" t="s">
        <v>33</v>
      </c>
      <c r="L5" s="5" t="s">
        <v>32</v>
      </c>
      <c r="M5" s="5" t="s">
        <v>32</v>
      </c>
      <c r="N5" s="5" t="s">
        <v>32</v>
      </c>
      <c r="O5" s="5" t="s">
        <v>33</v>
      </c>
      <c r="P5" s="5" t="s">
        <v>33</v>
      </c>
      <c r="Q5" s="5" t="s">
        <v>33</v>
      </c>
      <c r="R5" s="5" t="s">
        <v>33</v>
      </c>
      <c r="S5" s="5" t="s">
        <v>33</v>
      </c>
      <c r="T5" s="5" t="s">
        <v>31</v>
      </c>
      <c r="U5" s="5" t="s">
        <v>31</v>
      </c>
      <c r="V5" s="5" t="s">
        <v>31</v>
      </c>
      <c r="W5" s="5" t="s">
        <v>31</v>
      </c>
      <c r="X5" s="5" t="s">
        <v>31</v>
      </c>
      <c r="Y5" s="5" t="s">
        <v>44</v>
      </c>
    </row>
    <row r="6" spans="1:25" ht="22.5" customHeight="1" x14ac:dyDescent="0.2">
      <c r="A6" s="4">
        <v>46095.806573587965</v>
      </c>
      <c r="B6" s="5" t="s">
        <v>35</v>
      </c>
      <c r="C6" s="5" t="s">
        <v>42</v>
      </c>
      <c r="D6" s="5">
        <v>160</v>
      </c>
      <c r="E6" s="5">
        <v>80</v>
      </c>
      <c r="F6" s="5" t="s">
        <v>45</v>
      </c>
      <c r="G6" s="5" t="s">
        <v>37</v>
      </c>
      <c r="H6" s="5" t="s">
        <v>38</v>
      </c>
      <c r="I6" s="5" t="s">
        <v>30</v>
      </c>
      <c r="J6" s="5" t="s">
        <v>31</v>
      </c>
      <c r="K6" s="5" t="s">
        <v>31</v>
      </c>
      <c r="L6" s="5" t="s">
        <v>33</v>
      </c>
      <c r="M6" s="5" t="s">
        <v>31</v>
      </c>
      <c r="N6" s="5" t="s">
        <v>31</v>
      </c>
      <c r="O6" s="5" t="s">
        <v>31</v>
      </c>
      <c r="P6" s="5" t="s">
        <v>31</v>
      </c>
      <c r="Q6" s="5" t="s">
        <v>31</v>
      </c>
      <c r="R6" s="5" t="s">
        <v>31</v>
      </c>
      <c r="S6" s="5" t="s">
        <v>31</v>
      </c>
      <c r="T6" s="5" t="s">
        <v>31</v>
      </c>
      <c r="U6" s="5" t="s">
        <v>31</v>
      </c>
      <c r="V6" s="5" t="s">
        <v>31</v>
      </c>
      <c r="W6" s="5" t="s">
        <v>31</v>
      </c>
      <c r="X6" s="5" t="s">
        <v>31</v>
      </c>
    </row>
    <row r="7" spans="1:25" ht="22.5" customHeight="1" x14ac:dyDescent="0.2">
      <c r="A7" s="4">
        <v>46095.840430266202</v>
      </c>
      <c r="B7" s="5" t="s">
        <v>25</v>
      </c>
      <c r="C7" s="5" t="s">
        <v>42</v>
      </c>
      <c r="D7" s="5">
        <v>160</v>
      </c>
      <c r="E7" s="5">
        <v>110</v>
      </c>
      <c r="F7" s="5" t="s">
        <v>46</v>
      </c>
      <c r="G7" s="5" t="s">
        <v>47</v>
      </c>
      <c r="H7" s="5" t="s">
        <v>48</v>
      </c>
      <c r="I7" s="5" t="s">
        <v>30</v>
      </c>
      <c r="J7" s="5" t="s">
        <v>31</v>
      </c>
      <c r="K7" s="5" t="s">
        <v>33</v>
      </c>
      <c r="L7" s="5" t="s">
        <v>33</v>
      </c>
      <c r="M7" s="5" t="s">
        <v>31</v>
      </c>
      <c r="N7" s="5" t="s">
        <v>33</v>
      </c>
      <c r="O7" s="5" t="s">
        <v>33</v>
      </c>
      <c r="P7" s="5" t="s">
        <v>31</v>
      </c>
      <c r="Q7" s="5" t="s">
        <v>31</v>
      </c>
      <c r="R7" s="5" t="s">
        <v>33</v>
      </c>
      <c r="S7" s="5" t="s">
        <v>31</v>
      </c>
      <c r="T7" s="5" t="s">
        <v>33</v>
      </c>
      <c r="U7" s="5" t="s">
        <v>31</v>
      </c>
      <c r="V7" s="5" t="s">
        <v>31</v>
      </c>
      <c r="W7" s="5" t="s">
        <v>31</v>
      </c>
      <c r="X7" s="5" t="s">
        <v>31</v>
      </c>
      <c r="Y7" s="5" t="s">
        <v>49</v>
      </c>
    </row>
    <row r="8" spans="1:25" ht="22.5" customHeight="1" x14ac:dyDescent="0.2">
      <c r="A8" s="4">
        <v>46095.848107754631</v>
      </c>
      <c r="B8" s="5" t="s">
        <v>35</v>
      </c>
      <c r="C8" s="5" t="s">
        <v>50</v>
      </c>
      <c r="D8" s="5">
        <v>165</v>
      </c>
      <c r="E8" s="5">
        <v>48</v>
      </c>
      <c r="F8" s="5" t="s">
        <v>51</v>
      </c>
      <c r="G8" s="5" t="s">
        <v>47</v>
      </c>
      <c r="H8" s="5" t="s">
        <v>48</v>
      </c>
      <c r="I8" s="5" t="s">
        <v>30</v>
      </c>
      <c r="J8" s="5" t="s">
        <v>31</v>
      </c>
      <c r="K8" s="5" t="s">
        <v>32</v>
      </c>
      <c r="L8" s="5" t="s">
        <v>33</v>
      </c>
      <c r="M8" s="5" t="s">
        <v>31</v>
      </c>
      <c r="N8" s="5" t="s">
        <v>31</v>
      </c>
      <c r="O8" s="5" t="s">
        <v>31</v>
      </c>
      <c r="P8" s="5" t="s">
        <v>31</v>
      </c>
      <c r="Q8" s="5" t="s">
        <v>31</v>
      </c>
      <c r="R8" s="5" t="s">
        <v>33</v>
      </c>
      <c r="S8" s="5" t="s">
        <v>33</v>
      </c>
      <c r="T8" s="5" t="s">
        <v>31</v>
      </c>
      <c r="U8" s="5" t="s">
        <v>33</v>
      </c>
      <c r="V8" s="5" t="s">
        <v>31</v>
      </c>
      <c r="W8" s="5" t="s">
        <v>31</v>
      </c>
      <c r="X8" s="5" t="s">
        <v>31</v>
      </c>
    </row>
    <row r="9" spans="1:25" ht="22.5" customHeight="1" x14ac:dyDescent="0.2">
      <c r="A9" s="4">
        <v>46095.855050601851</v>
      </c>
      <c r="B9" s="5" t="s">
        <v>25</v>
      </c>
      <c r="C9" s="5" t="s">
        <v>26</v>
      </c>
      <c r="D9" s="5">
        <v>150</v>
      </c>
      <c r="E9" s="5">
        <v>60</v>
      </c>
      <c r="F9" s="5" t="s">
        <v>52</v>
      </c>
      <c r="G9" s="5" t="s">
        <v>28</v>
      </c>
      <c r="H9" s="5" t="s">
        <v>29</v>
      </c>
      <c r="I9" s="5" t="s">
        <v>30</v>
      </c>
      <c r="J9" s="5" t="s">
        <v>31</v>
      </c>
      <c r="K9" s="5" t="s">
        <v>33</v>
      </c>
      <c r="L9" s="5" t="s">
        <v>31</v>
      </c>
      <c r="M9" s="5" t="s">
        <v>31</v>
      </c>
      <c r="N9" s="5" t="s">
        <v>31</v>
      </c>
      <c r="O9" s="5" t="s">
        <v>31</v>
      </c>
      <c r="P9" s="5" t="s">
        <v>31</v>
      </c>
      <c r="Q9" s="5" t="s">
        <v>31</v>
      </c>
      <c r="R9" s="5" t="s">
        <v>33</v>
      </c>
      <c r="S9" s="5" t="s">
        <v>33</v>
      </c>
      <c r="T9" s="5" t="s">
        <v>31</v>
      </c>
      <c r="U9" s="5" t="s">
        <v>31</v>
      </c>
      <c r="V9" s="5" t="s">
        <v>31</v>
      </c>
      <c r="W9" s="5" t="s">
        <v>33</v>
      </c>
      <c r="X9" s="5" t="s">
        <v>31</v>
      </c>
    </row>
    <row r="10" spans="1:25" ht="22.5" customHeight="1" thickBot="1" x14ac:dyDescent="0.25">
      <c r="A10" s="4">
        <v>46100.905865173612</v>
      </c>
      <c r="B10" s="5" t="s">
        <v>25</v>
      </c>
      <c r="C10" s="5" t="s">
        <v>26</v>
      </c>
      <c r="D10" s="5">
        <v>165</v>
      </c>
      <c r="E10" s="5">
        <v>54</v>
      </c>
      <c r="F10" s="5" t="s">
        <v>53</v>
      </c>
      <c r="G10" s="5" t="s">
        <v>37</v>
      </c>
      <c r="H10" s="5" t="s">
        <v>38</v>
      </c>
      <c r="I10" s="5" t="s">
        <v>30</v>
      </c>
      <c r="J10" s="5" t="s">
        <v>33</v>
      </c>
      <c r="K10" s="5" t="s">
        <v>33</v>
      </c>
      <c r="L10" s="5" t="s">
        <v>33</v>
      </c>
      <c r="M10" s="5" t="s">
        <v>31</v>
      </c>
      <c r="N10" s="5" t="s">
        <v>31</v>
      </c>
      <c r="O10" s="5" t="s">
        <v>31</v>
      </c>
      <c r="P10" s="5" t="s">
        <v>31</v>
      </c>
      <c r="Q10" s="5" t="s">
        <v>31</v>
      </c>
      <c r="R10" s="5" t="s">
        <v>31</v>
      </c>
      <c r="S10" s="5" t="s">
        <v>31</v>
      </c>
      <c r="T10" s="5" t="s">
        <v>33</v>
      </c>
      <c r="U10" s="5" t="s">
        <v>31</v>
      </c>
      <c r="V10" s="5" t="s">
        <v>31</v>
      </c>
      <c r="W10" s="5" t="s">
        <v>33</v>
      </c>
      <c r="X10" s="5" t="s">
        <v>33</v>
      </c>
      <c r="Y10" s="5" t="s">
        <v>54</v>
      </c>
    </row>
    <row r="11" spans="1:25" ht="15.75" customHeight="1" thickBot="1" x14ac:dyDescent="0.25">
      <c r="A11" s="24" t="s">
        <v>115</v>
      </c>
      <c r="B11" s="25" t="s">
        <v>25</v>
      </c>
      <c r="C11" s="25" t="s">
        <v>26</v>
      </c>
      <c r="D11" s="26">
        <v>172</v>
      </c>
      <c r="E11" s="26">
        <v>56</v>
      </c>
      <c r="F11" s="25" t="s">
        <v>116</v>
      </c>
      <c r="G11" s="25" t="s">
        <v>37</v>
      </c>
      <c r="H11" s="25" t="s">
        <v>29</v>
      </c>
      <c r="I11" s="25" t="s">
        <v>30</v>
      </c>
      <c r="J11" s="25" t="s">
        <v>31</v>
      </c>
      <c r="K11" s="25" t="s">
        <v>33</v>
      </c>
      <c r="L11" s="25" t="s">
        <v>31</v>
      </c>
      <c r="M11" s="25" t="s">
        <v>31</v>
      </c>
      <c r="N11" s="25" t="s">
        <v>31</v>
      </c>
      <c r="O11" s="25" t="s">
        <v>31</v>
      </c>
      <c r="P11" s="25" t="s">
        <v>31</v>
      </c>
      <c r="Q11" s="25" t="s">
        <v>31</v>
      </c>
      <c r="R11" s="25" t="s">
        <v>31</v>
      </c>
      <c r="S11" s="25" t="s">
        <v>31</v>
      </c>
      <c r="T11" s="25" t="s">
        <v>31</v>
      </c>
      <c r="U11" s="25" t="s">
        <v>33</v>
      </c>
      <c r="V11" s="25" t="s">
        <v>31</v>
      </c>
      <c r="W11" s="25" t="s">
        <v>31</v>
      </c>
      <c r="X11" s="25" t="s">
        <v>31</v>
      </c>
      <c r="Y11" s="27"/>
    </row>
    <row r="12" spans="1:25" ht="15.75" customHeight="1" thickBot="1" x14ac:dyDescent="0.25">
      <c r="A12" s="28" t="s">
        <v>117</v>
      </c>
      <c r="B12" s="29" t="s">
        <v>25</v>
      </c>
      <c r="C12" s="29" t="s">
        <v>26</v>
      </c>
      <c r="D12" s="30">
        <v>172</v>
      </c>
      <c r="E12" s="30">
        <v>56</v>
      </c>
      <c r="F12" s="29" t="s">
        <v>118</v>
      </c>
      <c r="G12" s="29" t="s">
        <v>37</v>
      </c>
      <c r="H12" s="29" t="s">
        <v>38</v>
      </c>
      <c r="I12" s="29" t="s">
        <v>30</v>
      </c>
      <c r="J12" s="29" t="s">
        <v>31</v>
      </c>
      <c r="K12" s="29" t="s">
        <v>31</v>
      </c>
      <c r="L12" s="29" t="s">
        <v>31</v>
      </c>
      <c r="M12" s="29" t="s">
        <v>31</v>
      </c>
      <c r="N12" s="29" t="s">
        <v>31</v>
      </c>
      <c r="O12" s="29" t="s">
        <v>31</v>
      </c>
      <c r="P12" s="29" t="s">
        <v>31</v>
      </c>
      <c r="Q12" s="29" t="s">
        <v>31</v>
      </c>
      <c r="R12" s="29" t="s">
        <v>31</v>
      </c>
      <c r="S12" s="29" t="s">
        <v>31</v>
      </c>
      <c r="T12" s="29" t="s">
        <v>31</v>
      </c>
      <c r="U12" s="29" t="s">
        <v>31</v>
      </c>
      <c r="V12" s="29" t="s">
        <v>31</v>
      </c>
      <c r="W12" s="29" t="s">
        <v>31</v>
      </c>
      <c r="X12" s="29" t="s">
        <v>31</v>
      </c>
      <c r="Y12" s="31"/>
    </row>
    <row r="13" spans="1:25" ht="15.75" customHeight="1" thickBot="1" x14ac:dyDescent="0.25">
      <c r="A13" s="32" t="s">
        <v>119</v>
      </c>
      <c r="B13" s="33" t="s">
        <v>25</v>
      </c>
      <c r="C13" s="33" t="s">
        <v>26</v>
      </c>
      <c r="D13" s="34">
        <v>165</v>
      </c>
      <c r="E13" s="34">
        <v>99</v>
      </c>
      <c r="F13" s="33" t="s">
        <v>120</v>
      </c>
      <c r="G13" s="33" t="s">
        <v>37</v>
      </c>
      <c r="H13" s="33" t="s">
        <v>29</v>
      </c>
      <c r="I13" s="33" t="s">
        <v>30</v>
      </c>
      <c r="J13" s="33" t="s">
        <v>31</v>
      </c>
      <c r="K13" s="33" t="s">
        <v>31</v>
      </c>
      <c r="L13" s="33" t="s">
        <v>32</v>
      </c>
      <c r="M13" s="33" t="s">
        <v>31</v>
      </c>
      <c r="N13" s="33" t="s">
        <v>33</v>
      </c>
      <c r="O13" s="33" t="s">
        <v>33</v>
      </c>
      <c r="P13" s="33" t="s">
        <v>31</v>
      </c>
      <c r="Q13" s="33" t="s">
        <v>31</v>
      </c>
      <c r="R13" s="33" t="s">
        <v>33</v>
      </c>
      <c r="S13" s="33" t="s">
        <v>31</v>
      </c>
      <c r="T13" s="33" t="s">
        <v>31</v>
      </c>
      <c r="U13" s="33" t="s">
        <v>31</v>
      </c>
      <c r="V13" s="33" t="s">
        <v>31</v>
      </c>
      <c r="W13" s="33" t="s">
        <v>31</v>
      </c>
      <c r="X13" s="33" t="s">
        <v>31</v>
      </c>
      <c r="Y13" s="35"/>
    </row>
    <row r="14" spans="1:25" ht="15.75" customHeight="1" thickBot="1" x14ac:dyDescent="0.25">
      <c r="A14" s="28" t="s">
        <v>121</v>
      </c>
      <c r="B14" s="29" t="s">
        <v>25</v>
      </c>
      <c r="C14" s="29" t="s">
        <v>122</v>
      </c>
      <c r="D14" s="30">
        <v>152</v>
      </c>
      <c r="E14" s="30">
        <v>50</v>
      </c>
      <c r="F14" s="29" t="s">
        <v>123</v>
      </c>
      <c r="G14" s="29" t="s">
        <v>28</v>
      </c>
      <c r="H14" s="29" t="s">
        <v>29</v>
      </c>
      <c r="I14" s="29" t="s">
        <v>30</v>
      </c>
      <c r="J14" s="29" t="s">
        <v>33</v>
      </c>
      <c r="K14" s="29" t="s">
        <v>33</v>
      </c>
      <c r="L14" s="29" t="s">
        <v>33</v>
      </c>
      <c r="M14" s="29" t="s">
        <v>31</v>
      </c>
      <c r="N14" s="29" t="s">
        <v>33</v>
      </c>
      <c r="O14" s="29" t="s">
        <v>33</v>
      </c>
      <c r="P14" s="29" t="s">
        <v>33</v>
      </c>
      <c r="Q14" s="29" t="s">
        <v>33</v>
      </c>
      <c r="R14" s="29" t="s">
        <v>33</v>
      </c>
      <c r="S14" s="29" t="s">
        <v>31</v>
      </c>
      <c r="T14" s="29" t="s">
        <v>33</v>
      </c>
      <c r="U14" s="29" t="s">
        <v>31</v>
      </c>
      <c r="V14" s="29" t="s">
        <v>33</v>
      </c>
      <c r="W14" s="29" t="s">
        <v>32</v>
      </c>
      <c r="X14" s="29" t="s">
        <v>33</v>
      </c>
      <c r="Y14" s="36" t="s">
        <v>124</v>
      </c>
    </row>
    <row r="15" spans="1:25" ht="15.75" customHeight="1" thickBot="1" x14ac:dyDescent="0.25">
      <c r="A15" s="32" t="s">
        <v>125</v>
      </c>
      <c r="B15" s="33" t="s">
        <v>25</v>
      </c>
      <c r="C15" s="33" t="s">
        <v>26</v>
      </c>
      <c r="D15" s="34">
        <v>151</v>
      </c>
      <c r="E15" s="34">
        <v>58</v>
      </c>
      <c r="F15" s="33" t="s">
        <v>126</v>
      </c>
      <c r="G15" s="33" t="s">
        <v>28</v>
      </c>
      <c r="H15" s="33" t="s">
        <v>29</v>
      </c>
      <c r="I15" s="33" t="s">
        <v>30</v>
      </c>
      <c r="J15" s="33" t="s">
        <v>31</v>
      </c>
      <c r="K15" s="33" t="s">
        <v>32</v>
      </c>
      <c r="L15" s="33" t="s">
        <v>33</v>
      </c>
      <c r="M15" s="33" t="s">
        <v>31</v>
      </c>
      <c r="N15" s="33" t="s">
        <v>33</v>
      </c>
      <c r="O15" s="33" t="s">
        <v>33</v>
      </c>
      <c r="P15" s="33" t="s">
        <v>31</v>
      </c>
      <c r="Q15" s="33" t="s">
        <v>31</v>
      </c>
      <c r="R15" s="33" t="s">
        <v>33</v>
      </c>
      <c r="S15" s="33" t="s">
        <v>33</v>
      </c>
      <c r="T15" s="33" t="s">
        <v>31</v>
      </c>
      <c r="U15" s="33" t="s">
        <v>33</v>
      </c>
      <c r="V15" s="33" t="s">
        <v>33</v>
      </c>
      <c r="W15" s="33" t="s">
        <v>33</v>
      </c>
      <c r="X15" s="33" t="s">
        <v>31</v>
      </c>
      <c r="Y15" s="37" t="s">
        <v>39</v>
      </c>
    </row>
    <row r="16" spans="1:25" ht="15.75" customHeight="1" thickBot="1" x14ac:dyDescent="0.25">
      <c r="A16" s="28" t="s">
        <v>127</v>
      </c>
      <c r="B16" s="29" t="s">
        <v>35</v>
      </c>
      <c r="C16" s="29" t="s">
        <v>26</v>
      </c>
      <c r="D16" s="30">
        <v>165</v>
      </c>
      <c r="E16" s="30">
        <v>75</v>
      </c>
      <c r="F16" s="29" t="s">
        <v>128</v>
      </c>
      <c r="G16" s="29" t="s">
        <v>37</v>
      </c>
      <c r="H16" s="29" t="s">
        <v>38</v>
      </c>
      <c r="I16" s="29" t="s">
        <v>30</v>
      </c>
      <c r="J16" s="29" t="s">
        <v>33</v>
      </c>
      <c r="K16" s="29" t="s">
        <v>33</v>
      </c>
      <c r="L16" s="29" t="s">
        <v>31</v>
      </c>
      <c r="M16" s="29" t="s">
        <v>31</v>
      </c>
      <c r="N16" s="29" t="s">
        <v>31</v>
      </c>
      <c r="O16" s="29" t="s">
        <v>33</v>
      </c>
      <c r="P16" s="29" t="s">
        <v>31</v>
      </c>
      <c r="Q16" s="29" t="s">
        <v>31</v>
      </c>
      <c r="R16" s="29" t="s">
        <v>31</v>
      </c>
      <c r="S16" s="29" t="s">
        <v>31</v>
      </c>
      <c r="T16" s="29" t="s">
        <v>33</v>
      </c>
      <c r="U16" s="29" t="s">
        <v>33</v>
      </c>
      <c r="V16" s="29" t="s">
        <v>31</v>
      </c>
      <c r="W16" s="29" t="s">
        <v>31</v>
      </c>
      <c r="X16" s="29" t="s">
        <v>31</v>
      </c>
      <c r="Y16" s="36" t="s">
        <v>129</v>
      </c>
    </row>
    <row r="17" spans="1:25" ht="15.75" customHeight="1" thickBot="1" x14ac:dyDescent="0.25">
      <c r="A17" s="32" t="s">
        <v>130</v>
      </c>
      <c r="B17" s="33" t="s">
        <v>25</v>
      </c>
      <c r="C17" s="33" t="s">
        <v>26</v>
      </c>
      <c r="D17" s="34">
        <v>160</v>
      </c>
      <c r="E17" s="34">
        <v>100</v>
      </c>
      <c r="F17" s="33" t="s">
        <v>131</v>
      </c>
      <c r="G17" s="33" t="s">
        <v>37</v>
      </c>
      <c r="H17" s="33" t="s">
        <v>29</v>
      </c>
      <c r="I17" s="33" t="s">
        <v>30</v>
      </c>
      <c r="J17" s="33" t="s">
        <v>33</v>
      </c>
      <c r="K17" s="33" t="s">
        <v>31</v>
      </c>
      <c r="L17" s="33" t="s">
        <v>31</v>
      </c>
      <c r="M17" s="33" t="s">
        <v>31</v>
      </c>
      <c r="N17" s="33" t="s">
        <v>31</v>
      </c>
      <c r="O17" s="33" t="s">
        <v>31</v>
      </c>
      <c r="P17" s="33" t="s">
        <v>31</v>
      </c>
      <c r="Q17" s="33" t="s">
        <v>31</v>
      </c>
      <c r="R17" s="33" t="s">
        <v>31</v>
      </c>
      <c r="S17" s="33" t="s">
        <v>31</v>
      </c>
      <c r="T17" s="33" t="s">
        <v>31</v>
      </c>
      <c r="U17" s="33" t="s">
        <v>31</v>
      </c>
      <c r="V17" s="33" t="s">
        <v>31</v>
      </c>
      <c r="W17" s="33" t="s">
        <v>33</v>
      </c>
      <c r="X17" s="33" t="s">
        <v>31</v>
      </c>
      <c r="Y17" s="37" t="s">
        <v>132</v>
      </c>
    </row>
    <row r="18" spans="1:25" ht="15.75" customHeight="1" thickBot="1" x14ac:dyDescent="0.25">
      <c r="A18" s="28" t="s">
        <v>133</v>
      </c>
      <c r="B18" s="29" t="s">
        <v>25</v>
      </c>
      <c r="C18" s="29" t="s">
        <v>26</v>
      </c>
      <c r="D18" s="30">
        <v>161</v>
      </c>
      <c r="E18" s="30">
        <v>68</v>
      </c>
      <c r="F18" s="29" t="s">
        <v>134</v>
      </c>
      <c r="G18" s="29" t="s">
        <v>28</v>
      </c>
      <c r="H18" s="29" t="s">
        <v>29</v>
      </c>
      <c r="I18" s="29" t="s">
        <v>30</v>
      </c>
      <c r="J18" s="29" t="s">
        <v>31</v>
      </c>
      <c r="K18" s="29" t="s">
        <v>33</v>
      </c>
      <c r="L18" s="29" t="s">
        <v>33</v>
      </c>
      <c r="M18" s="29" t="s">
        <v>31</v>
      </c>
      <c r="N18" s="29" t="s">
        <v>33</v>
      </c>
      <c r="O18" s="29" t="s">
        <v>33</v>
      </c>
      <c r="P18" s="29" t="s">
        <v>31</v>
      </c>
      <c r="Q18" s="29" t="s">
        <v>31</v>
      </c>
      <c r="R18" s="29" t="s">
        <v>31</v>
      </c>
      <c r="S18" s="29" t="s">
        <v>31</v>
      </c>
      <c r="T18" s="29" t="s">
        <v>31</v>
      </c>
      <c r="U18" s="29" t="s">
        <v>31</v>
      </c>
      <c r="V18" s="29" t="s">
        <v>33</v>
      </c>
      <c r="W18" s="29" t="s">
        <v>33</v>
      </c>
      <c r="X18" s="29" t="s">
        <v>33</v>
      </c>
      <c r="Y18" s="31"/>
    </row>
    <row r="19" spans="1:25" ht="15.75" customHeight="1" thickBot="1" x14ac:dyDescent="0.25">
      <c r="A19" s="32" t="s">
        <v>135</v>
      </c>
      <c r="B19" s="33" t="s">
        <v>25</v>
      </c>
      <c r="C19" s="33" t="s">
        <v>26</v>
      </c>
      <c r="D19" s="34">
        <v>161</v>
      </c>
      <c r="E19" s="34">
        <v>68</v>
      </c>
      <c r="F19" s="33" t="s">
        <v>136</v>
      </c>
      <c r="G19" s="33" t="s">
        <v>28</v>
      </c>
      <c r="H19" s="33" t="s">
        <v>29</v>
      </c>
      <c r="I19" s="33" t="s">
        <v>30</v>
      </c>
      <c r="J19" s="33" t="s">
        <v>31</v>
      </c>
      <c r="K19" s="33" t="s">
        <v>33</v>
      </c>
      <c r="L19" s="33" t="s">
        <v>33</v>
      </c>
      <c r="M19" s="33" t="s">
        <v>31</v>
      </c>
      <c r="N19" s="33" t="s">
        <v>33</v>
      </c>
      <c r="O19" s="33" t="s">
        <v>33</v>
      </c>
      <c r="P19" s="33" t="s">
        <v>31</v>
      </c>
      <c r="Q19" s="33" t="s">
        <v>31</v>
      </c>
      <c r="R19" s="33" t="s">
        <v>31</v>
      </c>
      <c r="S19" s="33" t="s">
        <v>33</v>
      </c>
      <c r="T19" s="33" t="s">
        <v>31</v>
      </c>
      <c r="U19" s="33" t="s">
        <v>31</v>
      </c>
      <c r="V19" s="33" t="s">
        <v>33</v>
      </c>
      <c r="W19" s="33" t="s">
        <v>33</v>
      </c>
      <c r="X19" s="33" t="s">
        <v>31</v>
      </c>
      <c r="Y19" s="35"/>
    </row>
    <row r="20" spans="1:25" ht="15.75" customHeight="1" thickBot="1" x14ac:dyDescent="0.25">
      <c r="A20" s="28" t="s">
        <v>137</v>
      </c>
      <c r="B20" s="29" t="s">
        <v>25</v>
      </c>
      <c r="C20" s="29" t="s">
        <v>122</v>
      </c>
      <c r="D20" s="30">
        <v>156</v>
      </c>
      <c r="E20" s="30">
        <v>50</v>
      </c>
      <c r="F20" s="29" t="s">
        <v>138</v>
      </c>
      <c r="G20" s="29" t="s">
        <v>37</v>
      </c>
      <c r="H20" s="29" t="s">
        <v>38</v>
      </c>
      <c r="I20" s="29" t="s">
        <v>30</v>
      </c>
      <c r="J20" s="29" t="s">
        <v>33</v>
      </c>
      <c r="K20" s="29" t="s">
        <v>33</v>
      </c>
      <c r="L20" s="29" t="s">
        <v>33</v>
      </c>
      <c r="M20" s="29" t="s">
        <v>33</v>
      </c>
      <c r="N20" s="29" t="s">
        <v>33</v>
      </c>
      <c r="O20" s="29" t="s">
        <v>33</v>
      </c>
      <c r="P20" s="29" t="s">
        <v>33</v>
      </c>
      <c r="Q20" s="29" t="s">
        <v>33</v>
      </c>
      <c r="R20" s="29" t="s">
        <v>33</v>
      </c>
      <c r="S20" s="29" t="s">
        <v>33</v>
      </c>
      <c r="T20" s="29" t="s">
        <v>33</v>
      </c>
      <c r="U20" s="29" t="s">
        <v>33</v>
      </c>
      <c r="V20" s="29" t="s">
        <v>33</v>
      </c>
      <c r="W20" s="29" t="s">
        <v>33</v>
      </c>
      <c r="X20" s="29" t="s">
        <v>33</v>
      </c>
      <c r="Y20" s="31"/>
    </row>
    <row r="21" spans="1:25" ht="15.75" customHeight="1" thickBot="1" x14ac:dyDescent="0.25">
      <c r="A21" s="38" t="s">
        <v>139</v>
      </c>
      <c r="B21" s="39" t="s">
        <v>35</v>
      </c>
      <c r="C21" s="39" t="s">
        <v>122</v>
      </c>
      <c r="D21" s="40">
        <v>160</v>
      </c>
      <c r="E21" s="40">
        <v>80</v>
      </c>
      <c r="F21" s="39" t="s">
        <v>140</v>
      </c>
      <c r="G21" s="39" t="s">
        <v>37</v>
      </c>
      <c r="H21" s="39" t="s">
        <v>38</v>
      </c>
      <c r="I21" s="39" t="s">
        <v>30</v>
      </c>
      <c r="J21" s="39" t="s">
        <v>31</v>
      </c>
      <c r="K21" s="39" t="s">
        <v>31</v>
      </c>
      <c r="L21" s="39" t="s">
        <v>31</v>
      </c>
      <c r="M21" s="39" t="s">
        <v>31</v>
      </c>
      <c r="N21" s="39" t="s">
        <v>31</v>
      </c>
      <c r="O21" s="39" t="s">
        <v>31</v>
      </c>
      <c r="P21" s="39" t="s">
        <v>31</v>
      </c>
      <c r="Q21" s="39" t="s">
        <v>31</v>
      </c>
      <c r="R21" s="39" t="s">
        <v>31</v>
      </c>
      <c r="S21" s="39" t="s">
        <v>31</v>
      </c>
      <c r="T21" s="39" t="s">
        <v>31</v>
      </c>
      <c r="U21" s="39" t="s">
        <v>31</v>
      </c>
      <c r="V21" s="39" t="s">
        <v>31</v>
      </c>
      <c r="W21" s="39" t="s">
        <v>31</v>
      </c>
      <c r="X21" s="39" t="s">
        <v>31</v>
      </c>
      <c r="Y21" s="41"/>
    </row>
    <row r="22" spans="1:25" ht="15.75" customHeight="1" thickBot="1" x14ac:dyDescent="0.25">
      <c r="A22" s="45" t="s">
        <v>142</v>
      </c>
      <c r="B22" s="46" t="s">
        <v>25</v>
      </c>
      <c r="C22" s="46" t="s">
        <v>26</v>
      </c>
      <c r="D22" s="47">
        <v>169</v>
      </c>
      <c r="E22" s="47">
        <v>55.5</v>
      </c>
      <c r="F22" s="46" t="s">
        <v>143</v>
      </c>
      <c r="G22" s="46" t="s">
        <v>28</v>
      </c>
      <c r="H22" s="46" t="s">
        <v>29</v>
      </c>
      <c r="I22" s="46" t="s">
        <v>30</v>
      </c>
      <c r="J22" s="46" t="s">
        <v>31</v>
      </c>
      <c r="K22" s="46" t="s">
        <v>31</v>
      </c>
      <c r="L22" s="46" t="s">
        <v>33</v>
      </c>
      <c r="M22" s="46" t="s">
        <v>31</v>
      </c>
      <c r="N22" s="46" t="s">
        <v>33</v>
      </c>
      <c r="O22" s="46" t="s">
        <v>31</v>
      </c>
      <c r="P22" s="46" t="s">
        <v>32</v>
      </c>
      <c r="Q22" s="46" t="s">
        <v>32</v>
      </c>
      <c r="R22" s="46" t="s">
        <v>33</v>
      </c>
      <c r="S22" s="46" t="s">
        <v>31</v>
      </c>
      <c r="T22" s="46" t="s">
        <v>31</v>
      </c>
      <c r="U22" s="46" t="s">
        <v>31</v>
      </c>
      <c r="V22" s="46" t="s">
        <v>31</v>
      </c>
      <c r="W22" s="46" t="s">
        <v>31</v>
      </c>
      <c r="X22" s="46" t="s">
        <v>31</v>
      </c>
      <c r="Y22" s="48"/>
    </row>
    <row r="23" spans="1:25" ht="15.75" customHeight="1" thickBot="1" x14ac:dyDescent="0.25">
      <c r="A23" s="32" t="s">
        <v>144</v>
      </c>
      <c r="B23" s="33" t="s">
        <v>25</v>
      </c>
      <c r="C23" s="33" t="s">
        <v>26</v>
      </c>
      <c r="D23" s="34">
        <v>169</v>
      </c>
      <c r="E23" s="34">
        <v>55.5</v>
      </c>
      <c r="F23" s="33" t="s">
        <v>145</v>
      </c>
      <c r="G23" s="33" t="s">
        <v>28</v>
      </c>
      <c r="H23" s="33" t="s">
        <v>29</v>
      </c>
      <c r="I23" s="33" t="s">
        <v>30</v>
      </c>
      <c r="J23" s="33" t="s">
        <v>31</v>
      </c>
      <c r="K23" s="33" t="s">
        <v>31</v>
      </c>
      <c r="L23" s="33" t="s">
        <v>33</v>
      </c>
      <c r="M23" s="33" t="s">
        <v>33</v>
      </c>
      <c r="N23" s="33" t="s">
        <v>32</v>
      </c>
      <c r="O23" s="33" t="s">
        <v>31</v>
      </c>
      <c r="P23" s="33" t="s">
        <v>33</v>
      </c>
      <c r="Q23" s="33" t="s">
        <v>31</v>
      </c>
      <c r="R23" s="33" t="s">
        <v>31</v>
      </c>
      <c r="S23" s="33" t="s">
        <v>31</v>
      </c>
      <c r="T23" s="33" t="s">
        <v>31</v>
      </c>
      <c r="U23" s="33" t="s">
        <v>31</v>
      </c>
      <c r="V23" s="33" t="s">
        <v>31</v>
      </c>
      <c r="W23" s="33" t="s">
        <v>31</v>
      </c>
      <c r="X23" s="33" t="s">
        <v>31</v>
      </c>
      <c r="Y23" s="35"/>
    </row>
    <row r="24" spans="1:25" ht="15.75" customHeight="1" thickBot="1" x14ac:dyDescent="0.25">
      <c r="A24" s="28" t="s">
        <v>146</v>
      </c>
      <c r="B24" s="29" t="s">
        <v>25</v>
      </c>
      <c r="C24" s="29" t="s">
        <v>26</v>
      </c>
      <c r="D24" s="30">
        <v>169.5</v>
      </c>
      <c r="E24" s="30">
        <v>52</v>
      </c>
      <c r="F24" s="29" t="s">
        <v>147</v>
      </c>
      <c r="G24" s="29" t="s">
        <v>28</v>
      </c>
      <c r="H24" s="29" t="s">
        <v>29</v>
      </c>
      <c r="I24" s="29" t="s">
        <v>30</v>
      </c>
      <c r="J24" s="29" t="s">
        <v>31</v>
      </c>
      <c r="K24" s="29" t="s">
        <v>31</v>
      </c>
      <c r="L24" s="29" t="s">
        <v>31</v>
      </c>
      <c r="M24" s="29" t="s">
        <v>31</v>
      </c>
      <c r="N24" s="29" t="s">
        <v>31</v>
      </c>
      <c r="O24" s="29" t="s">
        <v>31</v>
      </c>
      <c r="P24" s="29" t="s">
        <v>32</v>
      </c>
      <c r="Q24" s="29" t="s">
        <v>31</v>
      </c>
      <c r="R24" s="29" t="s">
        <v>31</v>
      </c>
      <c r="S24" s="29" t="s">
        <v>31</v>
      </c>
      <c r="T24" s="29" t="s">
        <v>31</v>
      </c>
      <c r="U24" s="29" t="s">
        <v>31</v>
      </c>
      <c r="V24" s="29" t="s">
        <v>31</v>
      </c>
      <c r="W24" s="29" t="s">
        <v>31</v>
      </c>
      <c r="X24" s="29" t="s">
        <v>31</v>
      </c>
      <c r="Y24" s="31"/>
    </row>
    <row r="25" spans="1:25" ht="15.75" customHeight="1" thickBot="1" x14ac:dyDescent="0.25">
      <c r="A25" s="32" t="s">
        <v>148</v>
      </c>
      <c r="B25" s="33" t="s">
        <v>25</v>
      </c>
      <c r="C25" s="33" t="s">
        <v>26</v>
      </c>
      <c r="D25" s="34">
        <v>165</v>
      </c>
      <c r="E25" s="34">
        <v>54</v>
      </c>
      <c r="F25" s="33" t="s">
        <v>149</v>
      </c>
      <c r="G25" s="33" t="s">
        <v>37</v>
      </c>
      <c r="H25" s="33" t="s">
        <v>29</v>
      </c>
      <c r="I25" s="33" t="s">
        <v>30</v>
      </c>
      <c r="J25" s="33" t="s">
        <v>33</v>
      </c>
      <c r="K25" s="33" t="s">
        <v>33</v>
      </c>
      <c r="L25" s="33" t="s">
        <v>32</v>
      </c>
      <c r="M25" s="33" t="s">
        <v>31</v>
      </c>
      <c r="N25" s="33" t="s">
        <v>33</v>
      </c>
      <c r="O25" s="33" t="s">
        <v>31</v>
      </c>
      <c r="P25" s="33" t="s">
        <v>31</v>
      </c>
      <c r="Q25" s="33" t="s">
        <v>31</v>
      </c>
      <c r="R25" s="33" t="s">
        <v>31</v>
      </c>
      <c r="S25" s="33" t="s">
        <v>31</v>
      </c>
      <c r="T25" s="33" t="s">
        <v>31</v>
      </c>
      <c r="U25" s="33" t="s">
        <v>31</v>
      </c>
      <c r="V25" s="33" t="s">
        <v>31</v>
      </c>
      <c r="W25" s="33" t="s">
        <v>31</v>
      </c>
      <c r="X25" s="33" t="s">
        <v>33</v>
      </c>
      <c r="Y25" s="37" t="s">
        <v>150</v>
      </c>
    </row>
    <row r="26" spans="1:25" ht="15.75" customHeight="1" x14ac:dyDescent="0.2">
      <c r="A26" s="49" t="s">
        <v>151</v>
      </c>
      <c r="B26" s="50" t="s">
        <v>25</v>
      </c>
      <c r="C26" s="50" t="s">
        <v>26</v>
      </c>
      <c r="D26" s="51">
        <v>164</v>
      </c>
      <c r="E26" s="51">
        <v>55</v>
      </c>
      <c r="F26" s="50" t="s">
        <v>152</v>
      </c>
      <c r="G26" s="50" t="s">
        <v>28</v>
      </c>
      <c r="H26" s="50" t="s">
        <v>38</v>
      </c>
      <c r="I26" s="50" t="s">
        <v>30</v>
      </c>
      <c r="J26" s="50" t="s">
        <v>33</v>
      </c>
      <c r="K26" s="50" t="s">
        <v>33</v>
      </c>
      <c r="L26" s="50" t="s">
        <v>33</v>
      </c>
      <c r="M26" s="50" t="s">
        <v>33</v>
      </c>
      <c r="N26" s="50" t="s">
        <v>33</v>
      </c>
      <c r="O26" s="50" t="s">
        <v>31</v>
      </c>
      <c r="P26" s="50" t="s">
        <v>31</v>
      </c>
      <c r="Q26" s="50" t="s">
        <v>31</v>
      </c>
      <c r="R26" s="50" t="s">
        <v>31</v>
      </c>
      <c r="S26" s="50" t="s">
        <v>31</v>
      </c>
      <c r="T26" s="50" t="s">
        <v>33</v>
      </c>
      <c r="U26" s="50" t="s">
        <v>31</v>
      </c>
      <c r="V26" s="50" t="s">
        <v>31</v>
      </c>
      <c r="W26" s="50" t="s">
        <v>31</v>
      </c>
      <c r="X26" s="50" t="s">
        <v>33</v>
      </c>
      <c r="Y26" s="5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AE36-7190-4117-ADAA-1372ED83B0F9}">
  <dimension ref="A2:H22"/>
  <sheetViews>
    <sheetView zoomScale="115" zoomScaleNormal="115" workbookViewId="0">
      <selection activeCell="A22" sqref="A22"/>
    </sheetView>
  </sheetViews>
  <sheetFormatPr defaultRowHeight="12.75" x14ac:dyDescent="0.2"/>
  <cols>
    <col min="1" max="1" width="65" customWidth="1"/>
    <col min="2" max="2" width="10.5703125" customWidth="1"/>
    <col min="3" max="3" width="9.85546875" customWidth="1"/>
    <col min="5" max="5" width="16.28515625" bestFit="1" customWidth="1"/>
    <col min="6" max="6" width="7" bestFit="1" customWidth="1"/>
    <col min="7" max="7" width="5" bestFit="1" customWidth="1"/>
    <col min="8" max="8" width="11.5703125" customWidth="1"/>
  </cols>
  <sheetData>
    <row r="2" spans="1:8" x14ac:dyDescent="0.2">
      <c r="A2" s="11" t="s">
        <v>58</v>
      </c>
      <c r="B2" s="44" t="s">
        <v>141</v>
      </c>
      <c r="C2" s="18" t="s">
        <v>105</v>
      </c>
      <c r="G2" s="17" t="s">
        <v>78</v>
      </c>
      <c r="H2" s="17" t="s">
        <v>105</v>
      </c>
    </row>
    <row r="3" spans="1:8" x14ac:dyDescent="0.2">
      <c r="A3" t="s">
        <v>57</v>
      </c>
      <c r="B3" s="12">
        <f>score1!C32</f>
        <v>4</v>
      </c>
      <c r="C3" s="7" t="str">
        <f>IF(B3&gt;=4.51,"ดีเยี่ยม",
IF(B3&gt;=3.51,"ดี",
IF(B3&gt;=2.51,"ปานกลาง",
IF(B3&gt;=1.51,"น้อย","ปรับปรุง"))))</f>
        <v>ดี</v>
      </c>
      <c r="G3" s="17" t="s">
        <v>106</v>
      </c>
      <c r="H3" s="17" t="s">
        <v>31</v>
      </c>
    </row>
    <row r="4" spans="1:8" x14ac:dyDescent="0.2">
      <c r="A4" t="s">
        <v>59</v>
      </c>
      <c r="B4" s="12">
        <f>score1!C64</f>
        <v>4</v>
      </c>
      <c r="C4" s="7" t="str">
        <f t="shared" ref="C4:C7" si="0">IF(B4&gt;=4.51,"ดีเยี่ยม",
IF(B4&gt;=3.51,"ดี",
IF(B4&gt;=2.51,"ปานกลาง",
IF(B4&gt;=1.51,"น้อย","ปรับปรุง"))))</f>
        <v>ดี</v>
      </c>
      <c r="G4" s="17" t="s">
        <v>107</v>
      </c>
      <c r="H4" s="17" t="s">
        <v>33</v>
      </c>
    </row>
    <row r="5" spans="1:8" x14ac:dyDescent="0.2">
      <c r="A5" t="s">
        <v>60</v>
      </c>
      <c r="B5" s="12">
        <f>score1!H32</f>
        <v>4</v>
      </c>
      <c r="C5" s="7" t="str">
        <f t="shared" si="0"/>
        <v>ดี</v>
      </c>
      <c r="G5" s="17" t="s">
        <v>108</v>
      </c>
      <c r="H5" s="17" t="s">
        <v>32</v>
      </c>
    </row>
    <row r="6" spans="1:8" x14ac:dyDescent="0.2">
      <c r="A6" t="s">
        <v>61</v>
      </c>
      <c r="B6" s="12">
        <f>score1!H64</f>
        <v>5</v>
      </c>
      <c r="C6" s="7" t="str">
        <f t="shared" si="0"/>
        <v>ดีเยี่ยม</v>
      </c>
      <c r="G6" s="17" t="s">
        <v>109</v>
      </c>
      <c r="H6" s="17" t="s">
        <v>55</v>
      </c>
    </row>
    <row r="7" spans="1:8" x14ac:dyDescent="0.2">
      <c r="A7" t="s">
        <v>62</v>
      </c>
      <c r="B7" s="12">
        <f>score1!M32</f>
        <v>5</v>
      </c>
      <c r="C7" s="7" t="str">
        <f t="shared" si="0"/>
        <v>ดีเยี่ยม</v>
      </c>
      <c r="G7" s="17" t="s">
        <v>110</v>
      </c>
      <c r="H7" s="17" t="s">
        <v>56</v>
      </c>
    </row>
    <row r="8" spans="1:8" x14ac:dyDescent="0.2">
      <c r="A8" s="13" t="s">
        <v>104</v>
      </c>
      <c r="B8" s="14">
        <f>MEDIAN(B3:B7)</f>
        <v>4</v>
      </c>
      <c r="C8" s="7" t="str">
        <f>IF(B8&gt;=4.51,"ดีเยี่ยม",
IF(B8&gt;=3.51,"ดี",
IF(B8&gt;=2.51,"ปานกลาง",
IF(B8&gt;=1.51,"น้อย","ปรับปรุง"))))</f>
        <v>ดี</v>
      </c>
    </row>
    <row r="9" spans="1:8" x14ac:dyDescent="0.2">
      <c r="A9" s="11" t="s">
        <v>63</v>
      </c>
      <c r="B9" s="15"/>
      <c r="C9" s="7"/>
    </row>
    <row r="10" spans="1:8" x14ac:dyDescent="0.2">
      <c r="A10" s="16" t="s">
        <v>64</v>
      </c>
      <c r="B10" s="12">
        <f>score2!C32</f>
        <v>5</v>
      </c>
      <c r="C10" s="7" t="str">
        <f>IF(B10&gt;=4.51,"ดีเยี่ยม",
IF(B10&gt;=3.51,"ดี",
IF(B10&gt;=2.51,"ปานกลาง",
IF(B10&gt;=1.51,"น้อย","ปรับปรุง"))))</f>
        <v>ดีเยี่ยม</v>
      </c>
    </row>
    <row r="11" spans="1:8" x14ac:dyDescent="0.2">
      <c r="A11" t="s">
        <v>65</v>
      </c>
      <c r="B11" s="12">
        <f>score2!C64</f>
        <v>5</v>
      </c>
      <c r="C11" s="7" t="str">
        <f t="shared" ref="C11:C22" si="1">IF(B11&gt;=4.51,"ดีเยี่ยม",
IF(B11&gt;=3.51,"ดี",
IF(B11&gt;=2.51,"ปานกลาง",
IF(B11&gt;=1.51,"น้อย","ปรับปรุง"))))</f>
        <v>ดีเยี่ยม</v>
      </c>
    </row>
    <row r="12" spans="1:8" x14ac:dyDescent="0.2">
      <c r="A12" t="s">
        <v>66</v>
      </c>
      <c r="B12" s="12">
        <f>score2!H32</f>
        <v>5</v>
      </c>
      <c r="C12" s="7" t="str">
        <f t="shared" si="1"/>
        <v>ดีเยี่ยม</v>
      </c>
    </row>
    <row r="13" spans="1:8" x14ac:dyDescent="0.2">
      <c r="A13" t="s">
        <v>67</v>
      </c>
      <c r="B13" s="12">
        <f>score2!H64</f>
        <v>5</v>
      </c>
      <c r="C13" s="7" t="str">
        <f t="shared" si="1"/>
        <v>ดีเยี่ยม</v>
      </c>
    </row>
    <row r="14" spans="1:8" x14ac:dyDescent="0.2">
      <c r="A14" t="s">
        <v>68</v>
      </c>
      <c r="B14" s="12">
        <f>score2!M32</f>
        <v>5</v>
      </c>
      <c r="C14" s="7" t="str">
        <f t="shared" si="1"/>
        <v>ดีเยี่ยม</v>
      </c>
    </row>
    <row r="15" spans="1:8" x14ac:dyDescent="0.2">
      <c r="A15" s="13" t="s">
        <v>104</v>
      </c>
      <c r="B15" s="14">
        <f>MEDIAN(B10:B14)</f>
        <v>5</v>
      </c>
      <c r="C15" s="7" t="str">
        <f t="shared" si="1"/>
        <v>ดีเยี่ยม</v>
      </c>
    </row>
    <row r="16" spans="1:8" x14ac:dyDescent="0.2">
      <c r="A16" s="11" t="s">
        <v>69</v>
      </c>
      <c r="B16" s="15"/>
      <c r="C16" s="7"/>
    </row>
    <row r="17" spans="1:3" x14ac:dyDescent="0.2">
      <c r="A17" t="s">
        <v>70</v>
      </c>
      <c r="B17" s="12">
        <f>score3!C32</f>
        <v>5</v>
      </c>
      <c r="C17" s="7" t="str">
        <f t="shared" si="1"/>
        <v>ดีเยี่ยม</v>
      </c>
    </row>
    <row r="18" spans="1:3" x14ac:dyDescent="0.2">
      <c r="A18" t="s">
        <v>71</v>
      </c>
      <c r="B18" s="12">
        <f>score3!C64</f>
        <v>5</v>
      </c>
      <c r="C18" s="7" t="str">
        <f t="shared" si="1"/>
        <v>ดีเยี่ยม</v>
      </c>
    </row>
    <row r="19" spans="1:3" x14ac:dyDescent="0.2">
      <c r="A19" t="s">
        <v>72</v>
      </c>
      <c r="B19" s="12">
        <f>score3!H32</f>
        <v>5</v>
      </c>
      <c r="C19" s="7" t="str">
        <f t="shared" si="1"/>
        <v>ดีเยี่ยม</v>
      </c>
    </row>
    <row r="20" spans="1:3" x14ac:dyDescent="0.2">
      <c r="A20" t="s">
        <v>73</v>
      </c>
      <c r="B20" s="12">
        <f>score3!H64</f>
        <v>5</v>
      </c>
      <c r="C20" s="7" t="str">
        <f t="shared" si="1"/>
        <v>ดีเยี่ยม</v>
      </c>
    </row>
    <row r="21" spans="1:3" x14ac:dyDescent="0.2">
      <c r="A21" t="s">
        <v>74</v>
      </c>
      <c r="B21" s="12">
        <f>score3!M32</f>
        <v>5</v>
      </c>
      <c r="C21" s="7" t="str">
        <f t="shared" si="1"/>
        <v>ดีเยี่ยม</v>
      </c>
    </row>
    <row r="22" spans="1:3" x14ac:dyDescent="0.2">
      <c r="A22" s="13" t="s">
        <v>141</v>
      </c>
      <c r="B22" s="14">
        <f>MEDIAN(B17:B21)</f>
        <v>5</v>
      </c>
      <c r="C22" s="7" t="str">
        <f t="shared" si="1"/>
        <v>ดีเยี่ยม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2C39-385E-468E-8ADC-601EB7351823}">
  <dimension ref="A1:C4"/>
  <sheetViews>
    <sheetView tabSelected="1" zoomScale="115" zoomScaleNormal="115" workbookViewId="0">
      <selection activeCell="B2" sqref="B2"/>
    </sheetView>
  </sheetViews>
  <sheetFormatPr defaultRowHeight="12.75" x14ac:dyDescent="0.2"/>
  <cols>
    <col min="1" max="1" width="23.85546875" customWidth="1"/>
  </cols>
  <sheetData>
    <row r="1" spans="1:3" ht="22.5" customHeight="1" x14ac:dyDescent="0.2">
      <c r="A1" s="6" t="s">
        <v>111</v>
      </c>
      <c r="B1" s="19" t="s">
        <v>141</v>
      </c>
      <c r="C1" s="19" t="s">
        <v>105</v>
      </c>
    </row>
    <row r="2" spans="1:3" x14ac:dyDescent="0.2">
      <c r="A2" s="23" t="s">
        <v>112</v>
      </c>
      <c r="B2" s="21">
        <f>total!B8</f>
        <v>4</v>
      </c>
      <c r="C2" s="6" t="str">
        <f>total!C8</f>
        <v>ดี</v>
      </c>
    </row>
    <row r="3" spans="1:3" ht="25.5" x14ac:dyDescent="0.2">
      <c r="A3" s="20" t="s">
        <v>113</v>
      </c>
      <c r="B3" s="22">
        <f>total!B15</f>
        <v>5</v>
      </c>
      <c r="C3" s="6" t="str">
        <f>total!C15</f>
        <v>ดีเยี่ยม</v>
      </c>
    </row>
    <row r="4" spans="1:3" ht="25.5" x14ac:dyDescent="0.2">
      <c r="A4" s="20" t="s">
        <v>114</v>
      </c>
      <c r="B4" s="22">
        <f>total!B22</f>
        <v>5</v>
      </c>
      <c r="C4" s="6" t="str">
        <f>total!C22</f>
        <v>ดีเยี่ยม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62BE8-C3CB-41A4-97D8-FA7B2C80AE09}">
  <dimension ref="A1:N95"/>
  <sheetViews>
    <sheetView topLeftCell="A28" workbookViewId="0">
      <selection activeCell="L59" sqref="L59"/>
    </sheetView>
  </sheetViews>
  <sheetFormatPr defaultRowHeight="12.75" x14ac:dyDescent="0.2"/>
  <cols>
    <col min="1" max="1" width="11.42578125" customWidth="1"/>
    <col min="2" max="2" width="18.140625" customWidth="1"/>
    <col min="3" max="3" width="11.42578125" customWidth="1"/>
    <col min="6" max="6" width="11.42578125" customWidth="1"/>
    <col min="7" max="7" width="18.140625" customWidth="1"/>
    <col min="8" max="8" width="10.5703125" bestFit="1" customWidth="1"/>
    <col min="13" max="13" width="10.5703125" bestFit="1" customWidth="1"/>
    <col min="14" max="14" width="9.5703125" bestFit="1" customWidth="1"/>
  </cols>
  <sheetData>
    <row r="1" spans="1:13" x14ac:dyDescent="0.2">
      <c r="A1" s="7" t="s">
        <v>75</v>
      </c>
      <c r="B1" s="7" t="s">
        <v>76</v>
      </c>
      <c r="C1" s="7" t="s">
        <v>77</v>
      </c>
      <c r="D1" s="7"/>
      <c r="F1" s="7" t="s">
        <v>75</v>
      </c>
      <c r="G1" s="7" t="s">
        <v>76</v>
      </c>
      <c r="H1" s="7" t="s">
        <v>77</v>
      </c>
      <c r="K1" s="7" t="s">
        <v>75</v>
      </c>
      <c r="L1" s="7" t="s">
        <v>76</v>
      </c>
      <c r="M1" s="7" t="s">
        <v>77</v>
      </c>
    </row>
    <row r="2" spans="1:13" x14ac:dyDescent="0.2">
      <c r="A2" s="6">
        <v>1</v>
      </c>
      <c r="B2" s="7" t="s">
        <v>79</v>
      </c>
      <c r="C2" s="7">
        <f>IF('Form Responses 1'!J2="ดีเยี่ยม",5,
IF('Form Responses 1'!J2="ดี",4,
IF('Form Responses 1'!J2="ปานกลาง",3,
IF('Form Responses 1'!J2="น้อย",2,
IF('Form Responses 1'!J2="ปรับปรุง",1)))))</f>
        <v>5</v>
      </c>
      <c r="F2">
        <v>3</v>
      </c>
      <c r="G2" s="7" t="s">
        <v>79</v>
      </c>
      <c r="H2">
        <f>IF('Form Responses 1'!L2="ดีเยี่ยม",5,
IF('Form Responses 1'!L2="ดี",4,
IF('Form Responses 1'!L2="ปานกลาง",3,
IF('Form Responses 1'!L2="น้อย",2,
IF('Form Responses 1'!L2="ปรับปรุง",1)))))</f>
        <v>4</v>
      </c>
      <c r="K2">
        <v>5</v>
      </c>
      <c r="L2" s="7" t="s">
        <v>79</v>
      </c>
      <c r="M2">
        <f>IF('Form Responses 1'!N2="ดีเยี่ยม",5,
IF('Form Responses 1'!N2="ดี",4,
IF('Form Responses 1'!N2="ปานกลาง",3,
IF('Form Responses 1'!N2="น้อย",2,
IF('Form Responses 1'!N2="ปรับปรุง",1)))))</f>
        <v>5</v>
      </c>
    </row>
    <row r="3" spans="1:13" x14ac:dyDescent="0.2">
      <c r="B3" s="7" t="s">
        <v>80</v>
      </c>
      <c r="C3" s="7">
        <f>IF('Form Responses 1'!K3="ดีเยี่ยม",5,
IF('Form Responses 1'!K3="ดี",4,
IF('Form Responses 1'!K3="ปานกลาง",3,
IF('Form Responses 1'!K3="น้อย",2,
IF('Form Responses 1'!K3="ปรับปรุง",1)))))</f>
        <v>4</v>
      </c>
      <c r="G3" s="7" t="s">
        <v>80</v>
      </c>
      <c r="H3">
        <f>IF('Form Responses 1'!L3="ดีเยี่ยม",5,
IF('Form Responses 1'!L3="ดี",4,
IF('Form Responses 1'!L3="ปานกลาง",3,
IF('Form Responses 1'!L3="น้อย",2,
IF('Form Responses 1'!L3="ปรับปรุง",1)))))</f>
        <v>5</v>
      </c>
      <c r="L3" s="7" t="s">
        <v>80</v>
      </c>
      <c r="M3">
        <f>IF('Form Responses 1'!N3="ดีเยี่ยม",5,
IF('Form Responses 1'!N3="ดี",4,
IF('Form Responses 1'!N3="ปานกลาง",3,
IF('Form Responses 1'!N3="น้อย",2,
IF('Form Responses 1'!N3="ปรับปรุง",1)))))</f>
        <v>5</v>
      </c>
    </row>
    <row r="4" spans="1:13" x14ac:dyDescent="0.2">
      <c r="B4" s="7" t="s">
        <v>81</v>
      </c>
      <c r="C4" s="7">
        <f>IF('Form Responses 1'!K4="ดีเยี่ยม",5,
IF('Form Responses 1'!K4="ดี",4,
IF('Form Responses 1'!K4="ปานกลาง",3,
IF('Form Responses 1'!K4="น้อย",2,
IF('Form Responses 1'!K4="ปรับปรุง",1)))))</f>
        <v>4</v>
      </c>
      <c r="G4" s="7" t="s">
        <v>81</v>
      </c>
      <c r="H4">
        <f>IF('Form Responses 1'!L4="ดีเยี่ยม",5,
IF('Form Responses 1'!L4="ดี",4,
IF('Form Responses 1'!L4="ปานกลาง",3,
IF('Form Responses 1'!L4="น้อย",2,
IF('Form Responses 1'!L4="ปรับปรุง",1)))))</f>
        <v>3</v>
      </c>
      <c r="L4" s="7" t="s">
        <v>81</v>
      </c>
      <c r="M4">
        <f>IF('Form Responses 1'!N4="ดีเยี่ยม",5,
IF('Form Responses 1'!N4="ดี",4,
IF('Form Responses 1'!N4="ปานกลาง",3,
IF('Form Responses 1'!N4="น้อย",2,
IF('Form Responses 1'!N4="ปรับปรุง",1)))))</f>
        <v>5</v>
      </c>
    </row>
    <row r="5" spans="1:13" x14ac:dyDescent="0.2">
      <c r="B5" s="7" t="s">
        <v>82</v>
      </c>
      <c r="C5" s="7">
        <f>IF('Form Responses 1'!K5="ดีเยี่ยม",5,
IF('Form Responses 1'!K5="ดี",4,
IF('Form Responses 1'!K5="ปานกลาง",3,
IF('Form Responses 1'!K5="น้อย",2,
IF('Form Responses 1'!K5="ปรับปรุง",1)))))</f>
        <v>4</v>
      </c>
      <c r="G5" s="7" t="s">
        <v>82</v>
      </c>
      <c r="H5">
        <f>IF('Form Responses 1'!L5="ดีเยี่ยม",5,
IF('Form Responses 1'!L5="ดี",4,
IF('Form Responses 1'!L5="ปานกลาง",3,
IF('Form Responses 1'!L5="น้อย",2,
IF('Form Responses 1'!L5="ปรับปรุง",1)))))</f>
        <v>3</v>
      </c>
      <c r="L5" s="7" t="s">
        <v>82</v>
      </c>
      <c r="M5">
        <f>IF('Form Responses 1'!N5="ดีเยี่ยม",5,
IF('Form Responses 1'!N5="ดี",4,
IF('Form Responses 1'!N5="ปานกลาง",3,
IF('Form Responses 1'!N5="น้อย",2,
IF('Form Responses 1'!N5="ปรับปรุง",1)))))</f>
        <v>3</v>
      </c>
    </row>
    <row r="6" spans="1:13" x14ac:dyDescent="0.2">
      <c r="B6" s="7" t="s">
        <v>83</v>
      </c>
      <c r="C6" s="7">
        <f>IF('Form Responses 1'!K6="ดีเยี่ยม",5,
IF('Form Responses 1'!K6="ดี",4,
IF('Form Responses 1'!K6="ปานกลาง",3,
IF('Form Responses 1'!K6="น้อย",2,
IF('Form Responses 1'!K6="ปรับปรุง",1)))))</f>
        <v>5</v>
      </c>
      <c r="G6" s="7" t="s">
        <v>83</v>
      </c>
      <c r="H6">
        <f>IF('Form Responses 1'!L6="ดีเยี่ยม",5,
IF('Form Responses 1'!L6="ดี",4,
IF('Form Responses 1'!L6="ปานกลาง",3,
IF('Form Responses 1'!L6="น้อย",2,
IF('Form Responses 1'!L6="ปรับปรุง",1)))))</f>
        <v>4</v>
      </c>
      <c r="L6" s="7" t="s">
        <v>83</v>
      </c>
      <c r="M6">
        <f>IF('Form Responses 1'!N6="ดีเยี่ยม",5,
IF('Form Responses 1'!N6="ดี",4,
IF('Form Responses 1'!N6="ปานกลาง",3,
IF('Form Responses 1'!N6="น้อย",2,
IF('Form Responses 1'!N6="ปรับปรุง",1)))))</f>
        <v>5</v>
      </c>
    </row>
    <row r="7" spans="1:13" x14ac:dyDescent="0.2">
      <c r="B7" s="7" t="s">
        <v>84</v>
      </c>
      <c r="C7" s="7">
        <f>IF('Form Responses 1'!K7="ดีเยี่ยม",5,
IF('Form Responses 1'!K7="ดี",4,
IF('Form Responses 1'!K7="ปานกลาง",3,
IF('Form Responses 1'!K7="น้อย",2,
IF('Form Responses 1'!K7="ปรับปรุง",1)))))</f>
        <v>4</v>
      </c>
      <c r="G7" s="7" t="s">
        <v>84</v>
      </c>
      <c r="H7">
        <f>IF('Form Responses 1'!L7="ดีเยี่ยม",5,
IF('Form Responses 1'!L7="ดี",4,
IF('Form Responses 1'!L7="ปานกลาง",3,
IF('Form Responses 1'!L7="น้อย",2,
IF('Form Responses 1'!L7="ปรับปรุง",1)))))</f>
        <v>4</v>
      </c>
      <c r="L7" s="7" t="s">
        <v>84</v>
      </c>
      <c r="M7">
        <f>IF('Form Responses 1'!N7="ดีเยี่ยม",5,
IF('Form Responses 1'!N7="ดี",4,
IF('Form Responses 1'!N7="ปานกลาง",3,
IF('Form Responses 1'!N7="น้อย",2,
IF('Form Responses 1'!N7="ปรับปรุง",1)))))</f>
        <v>4</v>
      </c>
    </row>
    <row r="8" spans="1:13" x14ac:dyDescent="0.2">
      <c r="B8" s="7" t="s">
        <v>85</v>
      </c>
      <c r="C8" s="7">
        <f>IF('Form Responses 1'!K8="ดีเยี่ยม",5,
IF('Form Responses 1'!K8="ดี",4,
IF('Form Responses 1'!K8="ปานกลาง",3,
IF('Form Responses 1'!K8="น้อย",2,
IF('Form Responses 1'!K8="ปรับปรุง",1)))))</f>
        <v>3</v>
      </c>
      <c r="G8" s="7" t="s">
        <v>85</v>
      </c>
      <c r="H8">
        <f>IF('Form Responses 1'!L8="ดีเยี่ยม",5,
IF('Form Responses 1'!L8="ดี",4,
IF('Form Responses 1'!L8="ปานกลาง",3,
IF('Form Responses 1'!L8="น้อย",2,
IF('Form Responses 1'!L8="ปรับปรุง",1)))))</f>
        <v>4</v>
      </c>
      <c r="L8" s="7" t="s">
        <v>85</v>
      </c>
      <c r="M8">
        <f>IF('Form Responses 1'!N8="ดีเยี่ยม",5,
IF('Form Responses 1'!N8="ดี",4,
IF('Form Responses 1'!N8="ปานกลาง",3,
IF('Form Responses 1'!N8="น้อย",2,
IF('Form Responses 1'!N8="ปรับปรุง",1)))))</f>
        <v>5</v>
      </c>
    </row>
    <row r="9" spans="1:13" x14ac:dyDescent="0.2">
      <c r="B9" s="7" t="s">
        <v>86</v>
      </c>
      <c r="C9" s="7">
        <f>IF('Form Responses 1'!K9="ดีเยี่ยม",5,
IF('Form Responses 1'!K9="ดี",4,
IF('Form Responses 1'!K9="ปานกลาง",3,
IF('Form Responses 1'!K9="น้อย",2,
IF('Form Responses 1'!K9="ปรับปรุง",1)))))</f>
        <v>4</v>
      </c>
      <c r="G9" s="7" t="s">
        <v>86</v>
      </c>
      <c r="H9">
        <f>IF('Form Responses 1'!L9="ดีเยี่ยม",5,
IF('Form Responses 1'!L9="ดี",4,
IF('Form Responses 1'!L9="ปานกลาง",3,
IF('Form Responses 1'!L9="น้อย",2,
IF('Form Responses 1'!L9="ปรับปรุง",1)))))</f>
        <v>5</v>
      </c>
      <c r="L9" s="7" t="s">
        <v>86</v>
      </c>
      <c r="M9">
        <f>IF('Form Responses 1'!N9="ดีเยี่ยม",5,
IF('Form Responses 1'!N9="ดี",4,
IF('Form Responses 1'!N9="ปานกลาง",3,
IF('Form Responses 1'!N9="น้อย",2,
IF('Form Responses 1'!N9="ปรับปรุง",1)))))</f>
        <v>5</v>
      </c>
    </row>
    <row r="10" spans="1:13" x14ac:dyDescent="0.2">
      <c r="B10" s="7" t="s">
        <v>87</v>
      </c>
      <c r="C10" s="7">
        <f>IF('Form Responses 1'!K10="ดีเยี่ยม",5,
IF('Form Responses 1'!K10="ดี",4,
IF('Form Responses 1'!K10="ปานกลาง",3,
IF('Form Responses 1'!K10="น้อย",2,
IF('Form Responses 1'!K10="ปรับปรุง",1)))))</f>
        <v>4</v>
      </c>
      <c r="G10" s="7" t="s">
        <v>87</v>
      </c>
      <c r="H10">
        <f>IF('Form Responses 1'!L10="ดีเยี่ยม",5,
IF('Form Responses 1'!L10="ดี",4,
IF('Form Responses 1'!L10="ปานกลาง",3,
IF('Form Responses 1'!L10="น้อย",2,
IF('Form Responses 1'!L10="ปรับปรุง",1)))))</f>
        <v>4</v>
      </c>
      <c r="L10" s="7" t="s">
        <v>87</v>
      </c>
      <c r="M10">
        <f>IF('Form Responses 1'!N10="ดีเยี่ยม",5,
IF('Form Responses 1'!N10="ดี",4,
IF('Form Responses 1'!N10="ปานกลาง",3,
IF('Form Responses 1'!N10="น้อย",2,
IF('Form Responses 1'!N10="ปรับปรุง",1)))))</f>
        <v>5</v>
      </c>
    </row>
    <row r="11" spans="1:13" x14ac:dyDescent="0.2">
      <c r="B11" s="7" t="s">
        <v>88</v>
      </c>
      <c r="C11" s="7">
        <f>IF('Form Responses 1'!K11="ดีเยี่ยม",5,
IF('Form Responses 1'!K11="ดี",4,
IF('Form Responses 1'!K11="ปานกลาง",3,
IF('Form Responses 1'!K11="น้อย",2,
IF('Form Responses 1'!K11="ปรับปรุง",1)))))</f>
        <v>4</v>
      </c>
      <c r="G11" s="7" t="s">
        <v>88</v>
      </c>
      <c r="H11">
        <f>IF('Form Responses 1'!L11="ดีเยี่ยม",5,
IF('Form Responses 1'!L11="ดี",4,
IF('Form Responses 1'!L11="ปานกลาง",3,
IF('Form Responses 1'!L11="น้อย",2,
IF('Form Responses 1'!L11="ปรับปรุง",1)))))</f>
        <v>5</v>
      </c>
      <c r="L11" s="7" t="s">
        <v>88</v>
      </c>
      <c r="M11">
        <f>IF('Form Responses 1'!N11="ดีเยี่ยม",5,
IF('Form Responses 1'!N11="ดี",4,
IF('Form Responses 1'!N11="ปานกลาง",3,
IF('Form Responses 1'!N11="น้อย",2,
IF('Form Responses 1'!N11="ปรับปรุง",1)))))</f>
        <v>5</v>
      </c>
    </row>
    <row r="12" spans="1:13" x14ac:dyDescent="0.2">
      <c r="B12" s="7" t="s">
        <v>89</v>
      </c>
      <c r="C12" s="7">
        <f>IF('Form Responses 1'!K12="ดีเยี่ยม",5,
IF('Form Responses 1'!K12="ดี",4,
IF('Form Responses 1'!K12="ปานกลาง",3,
IF('Form Responses 1'!K12="น้อย",2,
IF('Form Responses 1'!K12="ปรับปรุง",1)))))</f>
        <v>5</v>
      </c>
      <c r="G12" s="7" t="s">
        <v>89</v>
      </c>
      <c r="H12">
        <f>IF('Form Responses 1'!L12="ดีเยี่ยม",5,
IF('Form Responses 1'!L12="ดี",4,
IF('Form Responses 1'!L12="ปานกลาง",3,
IF('Form Responses 1'!L12="น้อย",2,
IF('Form Responses 1'!L12="ปรับปรุง",1)))))</f>
        <v>5</v>
      </c>
      <c r="L12" s="7" t="s">
        <v>89</v>
      </c>
      <c r="M12">
        <f>IF('Form Responses 1'!N12="ดีเยี่ยม",5,
IF('Form Responses 1'!N12="ดี",4,
IF('Form Responses 1'!N12="ปานกลาง",3,
IF('Form Responses 1'!N12="น้อย",2,
IF('Form Responses 1'!N12="ปรับปรุง",1)))))</f>
        <v>5</v>
      </c>
    </row>
    <row r="13" spans="1:13" x14ac:dyDescent="0.2">
      <c r="B13" s="7" t="s">
        <v>90</v>
      </c>
      <c r="C13" s="7">
        <f>IF('Form Responses 1'!K13="ดีเยี่ยม",5,
IF('Form Responses 1'!K13="ดี",4,
IF('Form Responses 1'!K13="ปานกลาง",3,
IF('Form Responses 1'!K13="น้อย",2,
IF('Form Responses 1'!K13="ปรับปรุง",1)))))</f>
        <v>5</v>
      </c>
      <c r="G13" s="7" t="s">
        <v>90</v>
      </c>
      <c r="H13">
        <f>IF('Form Responses 1'!L13="ดีเยี่ยม",5,
IF('Form Responses 1'!L13="ดี",4,
IF('Form Responses 1'!L13="ปานกลาง",3,
IF('Form Responses 1'!L13="น้อย",2,
IF('Form Responses 1'!L13="ปรับปรุง",1)))))</f>
        <v>3</v>
      </c>
      <c r="L13" s="7" t="s">
        <v>90</v>
      </c>
      <c r="M13">
        <f>IF('Form Responses 1'!N13="ดีเยี่ยม",5,
IF('Form Responses 1'!N13="ดี",4,
IF('Form Responses 1'!N13="ปานกลาง",3,
IF('Form Responses 1'!N13="น้อย",2,
IF('Form Responses 1'!N13="ปรับปรุง",1)))))</f>
        <v>4</v>
      </c>
    </row>
    <row r="14" spans="1:13" x14ac:dyDescent="0.2">
      <c r="B14" s="7" t="s">
        <v>91</v>
      </c>
      <c r="C14" s="7">
        <f>IF('Form Responses 1'!K14="ดีเยี่ยม",5,
IF('Form Responses 1'!K14="ดี",4,
IF('Form Responses 1'!K14="ปานกลาง",3,
IF('Form Responses 1'!K14="น้อย",2,
IF('Form Responses 1'!K14="ปรับปรุง",1)))))</f>
        <v>4</v>
      </c>
      <c r="G14" s="7" t="s">
        <v>91</v>
      </c>
      <c r="H14">
        <f>IF('Form Responses 1'!L14="ดีเยี่ยม",5,
IF('Form Responses 1'!L14="ดี",4,
IF('Form Responses 1'!L14="ปานกลาง",3,
IF('Form Responses 1'!L14="น้อย",2,
IF('Form Responses 1'!L14="ปรับปรุง",1)))))</f>
        <v>4</v>
      </c>
      <c r="L14" s="7" t="s">
        <v>91</v>
      </c>
      <c r="M14">
        <f>IF('Form Responses 1'!N14="ดีเยี่ยม",5,
IF('Form Responses 1'!N14="ดี",4,
IF('Form Responses 1'!N14="ปานกลาง",3,
IF('Form Responses 1'!N14="น้อย",2,
IF('Form Responses 1'!N14="ปรับปรุง",1)))))</f>
        <v>4</v>
      </c>
    </row>
    <row r="15" spans="1:13" x14ac:dyDescent="0.2">
      <c r="B15" s="7" t="s">
        <v>92</v>
      </c>
      <c r="C15" s="7">
        <f>IF('Form Responses 1'!K15="ดีเยี่ยม",5,
IF('Form Responses 1'!K15="ดี",4,
IF('Form Responses 1'!K15="ปานกลาง",3,
IF('Form Responses 1'!K15="น้อย",2,
IF('Form Responses 1'!K15="ปรับปรุง",1)))))</f>
        <v>3</v>
      </c>
      <c r="G15" s="7" t="s">
        <v>92</v>
      </c>
      <c r="H15">
        <f>IF('Form Responses 1'!L15="ดีเยี่ยม",5,
IF('Form Responses 1'!L15="ดี",4,
IF('Form Responses 1'!L15="ปานกลาง",3,
IF('Form Responses 1'!L15="น้อย",2,
IF('Form Responses 1'!L15="ปรับปรุง",1)))))</f>
        <v>4</v>
      </c>
      <c r="L15" s="7" t="s">
        <v>92</v>
      </c>
      <c r="M15">
        <f>IF('Form Responses 1'!N15="ดีเยี่ยม",5,
IF('Form Responses 1'!N15="ดี",4,
IF('Form Responses 1'!N15="ปานกลาง",3,
IF('Form Responses 1'!N15="น้อย",2,
IF('Form Responses 1'!N15="ปรับปรุง",1)))))</f>
        <v>4</v>
      </c>
    </row>
    <row r="16" spans="1:13" x14ac:dyDescent="0.2">
      <c r="B16" s="7" t="s">
        <v>93</v>
      </c>
      <c r="C16" s="7">
        <f>IF('Form Responses 1'!K16="ดีเยี่ยม",5,
IF('Form Responses 1'!K16="ดี",4,
IF('Form Responses 1'!K16="ปานกลาง",3,
IF('Form Responses 1'!K16="น้อย",2,
IF('Form Responses 1'!K16="ปรับปรุง",1)))))</f>
        <v>4</v>
      </c>
      <c r="G16" s="7" t="s">
        <v>93</v>
      </c>
      <c r="H16">
        <f>IF('Form Responses 1'!L16="ดีเยี่ยม",5,
IF('Form Responses 1'!L16="ดี",4,
IF('Form Responses 1'!L16="ปานกลาง",3,
IF('Form Responses 1'!L16="น้อย",2,
IF('Form Responses 1'!L16="ปรับปรุง",1)))))</f>
        <v>5</v>
      </c>
      <c r="L16" s="7" t="s">
        <v>93</v>
      </c>
      <c r="M16">
        <f>IF('Form Responses 1'!N16="ดีเยี่ยม",5,
IF('Form Responses 1'!N16="ดี",4,
IF('Form Responses 1'!N16="ปานกลาง",3,
IF('Form Responses 1'!N16="น้อย",2,
IF('Form Responses 1'!N16="ปรับปรุง",1)))))</f>
        <v>5</v>
      </c>
    </row>
    <row r="17" spans="1:13" x14ac:dyDescent="0.2">
      <c r="B17" s="7" t="s">
        <v>94</v>
      </c>
      <c r="C17" s="7">
        <f>IF('Form Responses 1'!K17="ดีเยี่ยม",5,
IF('Form Responses 1'!K17="ดี",4,
IF('Form Responses 1'!K17="ปานกลาง",3,
IF('Form Responses 1'!K17="น้อย",2,
IF('Form Responses 1'!K17="ปรับปรุง",1)))))</f>
        <v>5</v>
      </c>
      <c r="G17" s="7" t="s">
        <v>94</v>
      </c>
      <c r="H17">
        <f>IF('Form Responses 1'!L17="ดีเยี่ยม",5,
IF('Form Responses 1'!L17="ดี",4,
IF('Form Responses 1'!L17="ปานกลาง",3,
IF('Form Responses 1'!L17="น้อย",2,
IF('Form Responses 1'!L17="ปรับปรุง",1)))))</f>
        <v>5</v>
      </c>
      <c r="L17" s="7" t="s">
        <v>94</v>
      </c>
      <c r="M17">
        <f>IF('Form Responses 1'!N17="ดีเยี่ยม",5,
IF('Form Responses 1'!N17="ดี",4,
IF('Form Responses 1'!N17="ปานกลาง",3,
IF('Form Responses 1'!N17="น้อย",2,
IF('Form Responses 1'!N17="ปรับปรุง",1)))))</f>
        <v>5</v>
      </c>
    </row>
    <row r="18" spans="1:13" x14ac:dyDescent="0.2">
      <c r="B18" s="7" t="s">
        <v>95</v>
      </c>
      <c r="C18" s="7">
        <f>IF('Form Responses 1'!K18="ดีเยี่ยม",5,
IF('Form Responses 1'!K18="ดี",4,
IF('Form Responses 1'!K18="ปานกลาง",3,
IF('Form Responses 1'!K18="น้อย",2,
IF('Form Responses 1'!K18="ปรับปรุง",1)))))</f>
        <v>4</v>
      </c>
      <c r="G18" s="7" t="s">
        <v>95</v>
      </c>
      <c r="H18">
        <f>IF('Form Responses 1'!L18="ดีเยี่ยม",5,
IF('Form Responses 1'!L18="ดี",4,
IF('Form Responses 1'!L18="ปานกลาง",3,
IF('Form Responses 1'!L18="น้อย",2,
IF('Form Responses 1'!L18="ปรับปรุง",1)))))</f>
        <v>4</v>
      </c>
      <c r="L18" s="7" t="s">
        <v>95</v>
      </c>
      <c r="M18">
        <f>IF('Form Responses 1'!N18="ดีเยี่ยม",5,
IF('Form Responses 1'!N18="ดี",4,
IF('Form Responses 1'!N18="ปานกลาง",3,
IF('Form Responses 1'!N18="น้อย",2,
IF('Form Responses 1'!N18="ปรับปรุง",1)))))</f>
        <v>4</v>
      </c>
    </row>
    <row r="19" spans="1:13" x14ac:dyDescent="0.2">
      <c r="B19" s="7" t="s">
        <v>96</v>
      </c>
      <c r="C19" s="7">
        <f>IF('Form Responses 1'!K19="ดีเยี่ยม",5,
IF('Form Responses 1'!K19="ดี",4,
IF('Form Responses 1'!K19="ปานกลาง",3,
IF('Form Responses 1'!K19="น้อย",2,
IF('Form Responses 1'!K19="ปรับปรุง",1)))))</f>
        <v>4</v>
      </c>
      <c r="G19" s="7" t="s">
        <v>96</v>
      </c>
      <c r="H19">
        <f>IF('Form Responses 1'!L19="ดีเยี่ยม",5,
IF('Form Responses 1'!L19="ดี",4,
IF('Form Responses 1'!L19="ปานกลาง",3,
IF('Form Responses 1'!L19="น้อย",2,
IF('Form Responses 1'!L19="ปรับปรุง",1)))))</f>
        <v>4</v>
      </c>
      <c r="L19" s="7" t="s">
        <v>96</v>
      </c>
      <c r="M19">
        <f>IF('Form Responses 1'!N19="ดีเยี่ยม",5,
IF('Form Responses 1'!N19="ดี",4,
IF('Form Responses 1'!N19="ปานกลาง",3,
IF('Form Responses 1'!N19="น้อย",2,
IF('Form Responses 1'!N19="ปรับปรุง",1)))))</f>
        <v>4</v>
      </c>
    </row>
    <row r="20" spans="1:13" x14ac:dyDescent="0.2">
      <c r="B20" s="7" t="s">
        <v>97</v>
      </c>
      <c r="C20" s="7">
        <f>IF('Form Responses 1'!K20="ดีเยี่ยม",5,
IF('Form Responses 1'!K20="ดี",4,
IF('Form Responses 1'!K20="ปานกลาง",3,
IF('Form Responses 1'!K20="น้อย",2,
IF('Form Responses 1'!K20="ปรับปรุง",1)))))</f>
        <v>4</v>
      </c>
      <c r="G20" s="7" t="s">
        <v>97</v>
      </c>
      <c r="H20">
        <f>IF('Form Responses 1'!L20="ดีเยี่ยม",5,
IF('Form Responses 1'!L20="ดี",4,
IF('Form Responses 1'!L20="ปานกลาง",3,
IF('Form Responses 1'!L20="น้อย",2,
IF('Form Responses 1'!L20="ปรับปรุง",1)))))</f>
        <v>4</v>
      </c>
      <c r="L20" s="7" t="s">
        <v>97</v>
      </c>
      <c r="M20">
        <f>IF('Form Responses 1'!N20="ดีเยี่ยม",5,
IF('Form Responses 1'!N20="ดี",4,
IF('Form Responses 1'!N20="ปานกลาง",3,
IF('Form Responses 1'!N20="น้อย",2,
IF('Form Responses 1'!N20="ปรับปรุง",1)))))</f>
        <v>4</v>
      </c>
    </row>
    <row r="21" spans="1:13" x14ac:dyDescent="0.2">
      <c r="B21" s="7" t="s">
        <v>98</v>
      </c>
      <c r="C21" s="7">
        <f>IF('Form Responses 1'!K21="ดีเยี่ยม",5,
IF('Form Responses 1'!K21="ดี",4,
IF('Form Responses 1'!K21="ปานกลาง",3,
IF('Form Responses 1'!K21="น้อย",2,
IF('Form Responses 1'!K21="ปรับปรุง",1)))))</f>
        <v>5</v>
      </c>
      <c r="G21" s="7" t="s">
        <v>98</v>
      </c>
      <c r="H21">
        <f>IF('Form Responses 1'!L21="ดีเยี่ยม",5,
IF('Form Responses 1'!L21="ดี",4,
IF('Form Responses 1'!L21="ปานกลาง",3,
IF('Form Responses 1'!L21="น้อย",2,
IF('Form Responses 1'!L21="ปรับปรุง",1)))))</f>
        <v>5</v>
      </c>
      <c r="L21" s="7" t="s">
        <v>98</v>
      </c>
      <c r="M21">
        <f>IF('Form Responses 1'!N21="ดีเยี่ยม",5,
IF('Form Responses 1'!N21="ดี",4,
IF('Form Responses 1'!N21="ปานกลาง",3,
IF('Form Responses 1'!N21="น้อย",2,
IF('Form Responses 1'!N21="ปรับปรุง",1)))))</f>
        <v>5</v>
      </c>
    </row>
    <row r="22" spans="1:13" x14ac:dyDescent="0.2">
      <c r="B22" s="7" t="s">
        <v>99</v>
      </c>
      <c r="C22" s="7">
        <f>IF('Form Responses 1'!K22="ดีเยี่ยม",5,
IF('Form Responses 1'!K22="ดี",4,
IF('Form Responses 1'!K22="ปานกลาง",3,
IF('Form Responses 1'!K22="น้อย",2,
IF('Form Responses 1'!K22="ปรับปรุง",1)))))</f>
        <v>5</v>
      </c>
      <c r="G22" s="7" t="s">
        <v>99</v>
      </c>
      <c r="H22">
        <f>IF('Form Responses 1'!L22="ดีเยี่ยม",5,
IF('Form Responses 1'!L22="ดี",4,
IF('Form Responses 1'!L22="ปานกลาง",3,
IF('Form Responses 1'!L22="น้อย",2,
IF('Form Responses 1'!L22="ปรับปรุง",1)))))</f>
        <v>4</v>
      </c>
      <c r="L22" s="7" t="s">
        <v>99</v>
      </c>
      <c r="M22">
        <f>IF('Form Responses 1'!N22="ดีเยี่ยม",5,
IF('Form Responses 1'!N22="ดี",4,
IF('Form Responses 1'!N22="ปานกลาง",3,
IF('Form Responses 1'!N22="น้อย",2,
IF('Form Responses 1'!N22="ปรับปรุง",1)))))</f>
        <v>4</v>
      </c>
    </row>
    <row r="23" spans="1:13" x14ac:dyDescent="0.2">
      <c r="B23" s="7" t="s">
        <v>100</v>
      </c>
      <c r="C23" s="7">
        <f>IF('Form Responses 1'!K23="ดีเยี่ยม",5,
IF('Form Responses 1'!K23="ดี",4,
IF('Form Responses 1'!K23="ปานกลาง",3,
IF('Form Responses 1'!K23="น้อย",2,
IF('Form Responses 1'!K23="ปรับปรุง",1)))))</f>
        <v>5</v>
      </c>
      <c r="G23" s="7" t="s">
        <v>100</v>
      </c>
      <c r="H23">
        <f>IF('Form Responses 1'!L23="ดีเยี่ยม",5,
IF('Form Responses 1'!L23="ดี",4,
IF('Form Responses 1'!L23="ปานกลาง",3,
IF('Form Responses 1'!L23="น้อย",2,
IF('Form Responses 1'!L23="ปรับปรุง",1)))))</f>
        <v>4</v>
      </c>
      <c r="L23" s="7" t="s">
        <v>100</v>
      </c>
      <c r="M23">
        <f>IF('Form Responses 1'!N23="ดีเยี่ยม",5,
IF('Form Responses 1'!N23="ดี",4,
IF('Form Responses 1'!N23="ปานกลาง",3,
IF('Form Responses 1'!N23="น้อย",2,
IF('Form Responses 1'!N23="ปรับปรุง",1)))))</f>
        <v>3</v>
      </c>
    </row>
    <row r="24" spans="1:13" x14ac:dyDescent="0.2">
      <c r="B24" s="7" t="s">
        <v>101</v>
      </c>
      <c r="C24" s="7">
        <f>IF('Form Responses 1'!K24="ดีเยี่ยม",5,
IF('Form Responses 1'!K24="ดี",4,
IF('Form Responses 1'!K24="ปานกลาง",3,
IF('Form Responses 1'!K24="น้อย",2,
IF('Form Responses 1'!K24="ปรับปรุง",1)))))</f>
        <v>5</v>
      </c>
      <c r="G24" s="7" t="s">
        <v>101</v>
      </c>
      <c r="H24">
        <f>IF('Form Responses 1'!L24="ดีเยี่ยม",5,
IF('Form Responses 1'!L24="ดี",4,
IF('Form Responses 1'!L24="ปานกลาง",3,
IF('Form Responses 1'!L24="น้อย",2,
IF('Form Responses 1'!L24="ปรับปรุง",1)))))</f>
        <v>5</v>
      </c>
      <c r="L24" s="7" t="s">
        <v>101</v>
      </c>
      <c r="M24">
        <f>IF('Form Responses 1'!N24="ดีเยี่ยม",5,
IF('Form Responses 1'!N24="ดี",4,
IF('Form Responses 1'!N24="ปานกลาง",3,
IF('Form Responses 1'!N24="น้อย",2,
IF('Form Responses 1'!N24="ปรับปรุง",1)))))</f>
        <v>5</v>
      </c>
    </row>
    <row r="25" spans="1:13" x14ac:dyDescent="0.2">
      <c r="B25" s="7" t="s">
        <v>102</v>
      </c>
      <c r="C25" s="7">
        <f>IF('Form Responses 1'!K25="ดีเยี่ยม",5,
IF('Form Responses 1'!K25="ดี",4,
IF('Form Responses 1'!K25="ปานกลาง",3,
IF('Form Responses 1'!K25="น้อย",2,
IF('Form Responses 1'!K25="ปรับปรุง",1)))))</f>
        <v>4</v>
      </c>
      <c r="G25" s="7" t="s">
        <v>102</v>
      </c>
      <c r="H25">
        <f>IF('Form Responses 1'!L25="ดีเยี่ยม",5,
IF('Form Responses 1'!L25="ดี",4,
IF('Form Responses 1'!L25="ปานกลาง",3,
IF('Form Responses 1'!L25="น้อย",2,
IF('Form Responses 1'!L25="ปรับปรุง",1)))))</f>
        <v>3</v>
      </c>
      <c r="L25" s="7" t="s">
        <v>102</v>
      </c>
      <c r="M25">
        <f>IF('Form Responses 1'!N25="ดีเยี่ยม",5,
IF('Form Responses 1'!N25="ดี",4,
IF('Form Responses 1'!N25="ปานกลาง",3,
IF('Form Responses 1'!N25="น้อย",2,
IF('Form Responses 1'!N25="ปรับปรุง",1)))))</f>
        <v>4</v>
      </c>
    </row>
    <row r="26" spans="1:13" x14ac:dyDescent="0.2">
      <c r="B26" s="7" t="s">
        <v>103</v>
      </c>
      <c r="C26" s="7">
        <f>IF('Form Responses 1'!K26="ดีเยี่ยม",5,
IF('Form Responses 1'!K26="ดี",4,
IF('Form Responses 1'!K26="ปานกลาง",3,
IF('Form Responses 1'!K26="น้อย",2,
IF('Form Responses 1'!K26="ปรับปรุง",1)))))</f>
        <v>4</v>
      </c>
      <c r="G26" s="7" t="s">
        <v>103</v>
      </c>
      <c r="H26">
        <f>IF('Form Responses 1'!L26="ดีเยี่ยม",5,
IF('Form Responses 1'!L26="ดี",4,
IF('Form Responses 1'!L26="ปานกลาง",3,
IF('Form Responses 1'!L26="น้อย",2,
IF('Form Responses 1'!L26="ปรับปรุง",1)))))</f>
        <v>4</v>
      </c>
      <c r="L26" s="7" t="s">
        <v>103</v>
      </c>
      <c r="M26">
        <f>IF('Form Responses 1'!N26="ดีเยี่ยม",5,
IF('Form Responses 1'!N26="ดี",4,
IF('Form Responses 1'!N26="ปานกลาง",3,
IF('Form Responses 1'!N26="น้อย",2,
IF('Form Responses 1'!N26="ปรับปรุง",1)))))</f>
        <v>4</v>
      </c>
    </row>
    <row r="27" spans="1:13" x14ac:dyDescent="0.2">
      <c r="B27" s="7"/>
      <c r="C27" s="7"/>
      <c r="G27" s="7"/>
      <c r="L27" s="7"/>
    </row>
    <row r="28" spans="1:13" x14ac:dyDescent="0.2">
      <c r="B28" s="7"/>
      <c r="C28" s="7"/>
      <c r="G28" s="7"/>
      <c r="L28" s="7"/>
    </row>
    <row r="29" spans="1:13" x14ac:dyDescent="0.2">
      <c r="B29" s="7"/>
      <c r="C29" s="7"/>
      <c r="G29" s="7"/>
      <c r="L29" s="7"/>
    </row>
    <row r="30" spans="1:13" x14ac:dyDescent="0.2">
      <c r="B30" s="7"/>
      <c r="C30" s="7"/>
      <c r="G30" s="7"/>
      <c r="L30" s="7"/>
    </row>
    <row r="31" spans="1:13" x14ac:dyDescent="0.2">
      <c r="B31" s="7"/>
      <c r="C31" s="7"/>
      <c r="G31" s="7"/>
      <c r="L31" s="7"/>
    </row>
    <row r="32" spans="1:13" x14ac:dyDescent="0.2">
      <c r="A32" s="42" t="s">
        <v>78</v>
      </c>
      <c r="B32" s="42"/>
      <c r="C32" s="43">
        <f>MEDIAN(C2:C31)</f>
        <v>4</v>
      </c>
      <c r="D32" s="42"/>
      <c r="E32" s="42"/>
      <c r="F32" s="42" t="s">
        <v>78</v>
      </c>
      <c r="G32" s="42"/>
      <c r="H32" s="43">
        <f>MEDIAN(H2:H31)</f>
        <v>4</v>
      </c>
      <c r="I32" s="42"/>
      <c r="J32" s="42"/>
      <c r="K32" s="42" t="s">
        <v>78</v>
      </c>
      <c r="L32" s="42"/>
      <c r="M32" s="43">
        <f>MEDIAN(M2:M31)</f>
        <v>5</v>
      </c>
    </row>
    <row r="34" spans="1:8" x14ac:dyDescent="0.2">
      <c r="A34" s="7">
        <v>2</v>
      </c>
      <c r="B34" s="7" t="s">
        <v>79</v>
      </c>
      <c r="C34" s="7">
        <f>IF('Form Responses 1'!K2="ดีเยี่ยม",5,
IF('Form Responses 1'!K2="ดี",4,
IF('Form Responses 1'!K2="ปานกลาง",3,
IF('Form Responses 1'!K2="น้อย",2,
IF('Form Responses 1'!K2="ปรับปรุง",1)))))</f>
        <v>3</v>
      </c>
      <c r="F34">
        <v>4</v>
      </c>
      <c r="G34" s="7" t="s">
        <v>79</v>
      </c>
      <c r="H34">
        <f>IF('Form Responses 1'!M2="ดีเยี่ยม",5,
IF('Form Responses 1'!M2="ดี",4,
IF('Form Responses 1'!M2="ปานกลาง",3,
IF('Form Responses 1'!M2="น้อย",2,
IF('Form Responses 1'!M2="ปรับปรุง",1)))))</f>
        <v>5</v>
      </c>
    </row>
    <row r="35" spans="1:8" x14ac:dyDescent="0.2">
      <c r="B35" s="7" t="s">
        <v>80</v>
      </c>
      <c r="C35" s="7">
        <f>IF('Form Responses 1'!K3="ดีเยี่ยม",5,
IF('Form Responses 1'!K3="ดี",4,
IF('Form Responses 1'!K3="ปานกลาง",3,
IF('Form Responses 1'!K3="น้อย",2,
IF('Form Responses 1'!K3="ปรับปรุง",1)))))</f>
        <v>4</v>
      </c>
      <c r="G35" s="7" t="s">
        <v>80</v>
      </c>
      <c r="H35">
        <f>IF('Form Responses 1'!M3="ดีเยี่ยม",5,
IF('Form Responses 1'!M3="ดี",4,
IF('Form Responses 1'!M3="ปานกลาง",3,
IF('Form Responses 1'!M3="น้อย",2,
IF('Form Responses 1'!M3="ปรับปรุง",1)))))</f>
        <v>5</v>
      </c>
    </row>
    <row r="36" spans="1:8" x14ac:dyDescent="0.2">
      <c r="B36" s="7" t="s">
        <v>81</v>
      </c>
      <c r="C36" s="7">
        <f>IF('Form Responses 1'!K4="ดีเยี่ยม",5,
IF('Form Responses 1'!K4="ดี",4,
IF('Form Responses 1'!K4="ปานกลาง",3,
IF('Form Responses 1'!K4="น้อย",2,
IF('Form Responses 1'!K4="ปรับปรุง",1)))))</f>
        <v>4</v>
      </c>
      <c r="G36" s="7" t="s">
        <v>81</v>
      </c>
      <c r="H36">
        <f>IF('Form Responses 1'!M4="ดีเยี่ยม",5,
IF('Form Responses 1'!M4="ดี",4,
IF('Form Responses 1'!M4="ปานกลาง",3,
IF('Form Responses 1'!M4="น้อย",2,
IF('Form Responses 1'!M4="ปรับปรุง",1)))))</f>
        <v>5</v>
      </c>
    </row>
    <row r="37" spans="1:8" x14ac:dyDescent="0.2">
      <c r="B37" s="7" t="s">
        <v>82</v>
      </c>
      <c r="C37" s="7">
        <f>IF('Form Responses 1'!K5="ดีเยี่ยม",5,
IF('Form Responses 1'!K5="ดี",4,
IF('Form Responses 1'!K5="ปานกลาง",3,
IF('Form Responses 1'!K5="น้อย",2,
IF('Form Responses 1'!K5="ปรับปรุง",1)))))</f>
        <v>4</v>
      </c>
      <c r="G37" s="7" t="s">
        <v>82</v>
      </c>
      <c r="H37">
        <f>IF('Form Responses 1'!M5="ดีเยี่ยม",5,
IF('Form Responses 1'!M5="ดี",4,
IF('Form Responses 1'!M5="ปานกลาง",3,
IF('Form Responses 1'!M5="น้อย",2,
IF('Form Responses 1'!M5="ปรับปรุง",1)))))</f>
        <v>3</v>
      </c>
    </row>
    <row r="38" spans="1:8" x14ac:dyDescent="0.2">
      <c r="B38" s="7" t="s">
        <v>83</v>
      </c>
      <c r="C38" s="7">
        <f>IF('Form Responses 1'!K6="ดีเยี่ยม",5,
IF('Form Responses 1'!K6="ดี",4,
IF('Form Responses 1'!K6="ปานกลาง",3,
IF('Form Responses 1'!K6="น้อย",2,
IF('Form Responses 1'!K6="ปรับปรุง",1)))))</f>
        <v>5</v>
      </c>
      <c r="G38" s="7" t="s">
        <v>83</v>
      </c>
      <c r="H38">
        <f>IF('Form Responses 1'!M6="ดีเยี่ยม",5,
IF('Form Responses 1'!M6="ดี",4,
IF('Form Responses 1'!M6="ปานกลาง",3,
IF('Form Responses 1'!M6="น้อย",2,
IF('Form Responses 1'!M6="ปรับปรุง",1)))))</f>
        <v>5</v>
      </c>
    </row>
    <row r="39" spans="1:8" x14ac:dyDescent="0.2">
      <c r="B39" s="7" t="s">
        <v>84</v>
      </c>
      <c r="C39" s="7">
        <f>IF('Form Responses 1'!K7="ดีเยี่ยม",5,
IF('Form Responses 1'!K7="ดี",4,
IF('Form Responses 1'!K7="ปานกลาง",3,
IF('Form Responses 1'!K7="น้อย",2,
IF('Form Responses 1'!K7="ปรับปรุง",1)))))</f>
        <v>4</v>
      </c>
      <c r="G39" s="7" t="s">
        <v>84</v>
      </c>
      <c r="H39">
        <f>IF('Form Responses 1'!M7="ดีเยี่ยม",5,
IF('Form Responses 1'!M7="ดี",4,
IF('Form Responses 1'!M7="ปานกลาง",3,
IF('Form Responses 1'!M7="น้อย",2,
IF('Form Responses 1'!M7="ปรับปรุง",1)))))</f>
        <v>5</v>
      </c>
    </row>
    <row r="40" spans="1:8" x14ac:dyDescent="0.2">
      <c r="B40" s="7" t="s">
        <v>85</v>
      </c>
      <c r="C40" s="7">
        <f>IF('Form Responses 1'!K8="ดีเยี่ยม",5,
IF('Form Responses 1'!K8="ดี",4,
IF('Form Responses 1'!K8="ปานกลาง",3,
IF('Form Responses 1'!K8="น้อย",2,
IF('Form Responses 1'!K8="ปรับปรุง",1)))))</f>
        <v>3</v>
      </c>
      <c r="G40" s="7" t="s">
        <v>85</v>
      </c>
      <c r="H40">
        <f>IF('Form Responses 1'!M8="ดีเยี่ยม",5,
IF('Form Responses 1'!M8="ดี",4,
IF('Form Responses 1'!M8="ปานกลาง",3,
IF('Form Responses 1'!M8="น้อย",2,
IF('Form Responses 1'!M8="ปรับปรุง",1)))))</f>
        <v>5</v>
      </c>
    </row>
    <row r="41" spans="1:8" x14ac:dyDescent="0.2">
      <c r="B41" s="7" t="s">
        <v>86</v>
      </c>
      <c r="C41" s="7">
        <f>IF('Form Responses 1'!K9="ดีเยี่ยม",5,
IF('Form Responses 1'!K9="ดี",4,
IF('Form Responses 1'!K9="ปานกลาง",3,
IF('Form Responses 1'!K9="น้อย",2,
IF('Form Responses 1'!K9="ปรับปรุง",1)))))</f>
        <v>4</v>
      </c>
      <c r="G41" s="7" t="s">
        <v>86</v>
      </c>
      <c r="H41">
        <f>IF('Form Responses 1'!M9="ดีเยี่ยม",5,
IF('Form Responses 1'!M9="ดี",4,
IF('Form Responses 1'!M9="ปานกลาง",3,
IF('Form Responses 1'!M9="น้อย",2,
IF('Form Responses 1'!M9="ปรับปรุง",1)))))</f>
        <v>5</v>
      </c>
    </row>
    <row r="42" spans="1:8" x14ac:dyDescent="0.2">
      <c r="B42" s="7" t="s">
        <v>87</v>
      </c>
      <c r="C42" s="7">
        <f>IF('Form Responses 1'!K10="ดีเยี่ยม",5,
IF('Form Responses 1'!K10="ดี",4,
IF('Form Responses 1'!K10="ปานกลาง",3,
IF('Form Responses 1'!K10="น้อย",2,
IF('Form Responses 1'!K10="ปรับปรุง",1)))))</f>
        <v>4</v>
      </c>
      <c r="G42" s="7" t="s">
        <v>87</v>
      </c>
      <c r="H42">
        <f>IF('Form Responses 1'!M10="ดีเยี่ยม",5,
IF('Form Responses 1'!M10="ดี",4,
IF('Form Responses 1'!M10="ปานกลาง",3,
IF('Form Responses 1'!M10="น้อย",2,
IF('Form Responses 1'!M10="ปรับปรุง",1)))))</f>
        <v>5</v>
      </c>
    </row>
    <row r="43" spans="1:8" x14ac:dyDescent="0.2">
      <c r="B43" s="7" t="s">
        <v>88</v>
      </c>
      <c r="C43" s="7">
        <f>IF('Form Responses 1'!K11="ดีเยี่ยม",5,
IF('Form Responses 1'!K11="ดี",4,
IF('Form Responses 1'!K11="ปานกลาง",3,
IF('Form Responses 1'!K11="น้อย",2,
IF('Form Responses 1'!K11="ปรับปรุง",1)))))</f>
        <v>4</v>
      </c>
      <c r="G43" s="7" t="s">
        <v>88</v>
      </c>
      <c r="H43">
        <f>IF('Form Responses 1'!M11="ดีเยี่ยม",5,
IF('Form Responses 1'!M11="ดี",4,
IF('Form Responses 1'!M11="ปานกลาง",3,
IF('Form Responses 1'!M11="น้อย",2,
IF('Form Responses 1'!M11="ปรับปรุง",1)))))</f>
        <v>5</v>
      </c>
    </row>
    <row r="44" spans="1:8" x14ac:dyDescent="0.2">
      <c r="B44" s="7" t="s">
        <v>89</v>
      </c>
      <c r="C44" s="7">
        <f>IF('Form Responses 1'!K12="ดีเยี่ยม",5,
IF('Form Responses 1'!K12="ดี",4,
IF('Form Responses 1'!K12="ปานกลาง",3,
IF('Form Responses 1'!K12="น้อย",2,
IF('Form Responses 1'!K12="ปรับปรุง",1)))))</f>
        <v>5</v>
      </c>
      <c r="G44" s="7" t="s">
        <v>89</v>
      </c>
      <c r="H44">
        <f>IF('Form Responses 1'!M12="ดีเยี่ยม",5,
IF('Form Responses 1'!M12="ดี",4,
IF('Form Responses 1'!M12="ปานกลาง",3,
IF('Form Responses 1'!M12="น้อย",2,
IF('Form Responses 1'!M12="ปรับปรุง",1)))))</f>
        <v>5</v>
      </c>
    </row>
    <row r="45" spans="1:8" x14ac:dyDescent="0.2">
      <c r="B45" s="7" t="s">
        <v>90</v>
      </c>
      <c r="C45" s="7">
        <f>IF('Form Responses 1'!K13="ดีเยี่ยม",5,
IF('Form Responses 1'!K13="ดี",4,
IF('Form Responses 1'!K13="ปานกลาง",3,
IF('Form Responses 1'!K13="น้อย",2,
IF('Form Responses 1'!K13="ปรับปรุง",1)))))</f>
        <v>5</v>
      </c>
      <c r="G45" s="7" t="s">
        <v>90</v>
      </c>
      <c r="H45">
        <f>IF('Form Responses 1'!M13="ดีเยี่ยม",5,
IF('Form Responses 1'!M13="ดี",4,
IF('Form Responses 1'!M13="ปานกลาง",3,
IF('Form Responses 1'!M13="น้อย",2,
IF('Form Responses 1'!M13="ปรับปรุง",1)))))</f>
        <v>5</v>
      </c>
    </row>
    <row r="46" spans="1:8" x14ac:dyDescent="0.2">
      <c r="B46" s="7" t="s">
        <v>91</v>
      </c>
      <c r="C46" s="7">
        <f>IF('Form Responses 1'!K14="ดีเยี่ยม",5,
IF('Form Responses 1'!K14="ดี",4,
IF('Form Responses 1'!K14="ปานกลาง",3,
IF('Form Responses 1'!K14="น้อย",2,
IF('Form Responses 1'!K14="ปรับปรุง",1)))))</f>
        <v>4</v>
      </c>
      <c r="G46" s="7" t="s">
        <v>91</v>
      </c>
      <c r="H46">
        <f>IF('Form Responses 1'!M14="ดีเยี่ยม",5,
IF('Form Responses 1'!M14="ดี",4,
IF('Form Responses 1'!M14="ปานกลาง",3,
IF('Form Responses 1'!M14="น้อย",2,
IF('Form Responses 1'!M14="ปรับปรุง",1)))))</f>
        <v>5</v>
      </c>
    </row>
    <row r="47" spans="1:8" x14ac:dyDescent="0.2">
      <c r="B47" s="7" t="s">
        <v>92</v>
      </c>
      <c r="C47" s="7">
        <f>IF('Form Responses 1'!K15="ดีเยี่ยม",5,
IF('Form Responses 1'!K15="ดี",4,
IF('Form Responses 1'!K15="ปานกลาง",3,
IF('Form Responses 1'!K15="น้อย",2,
IF('Form Responses 1'!K15="ปรับปรุง",1)))))</f>
        <v>3</v>
      </c>
      <c r="G47" s="7" t="s">
        <v>92</v>
      </c>
      <c r="H47">
        <f>IF('Form Responses 1'!M15="ดีเยี่ยม",5,
IF('Form Responses 1'!M15="ดี",4,
IF('Form Responses 1'!M15="ปานกลาง",3,
IF('Form Responses 1'!M15="น้อย",2,
IF('Form Responses 1'!M15="ปรับปรุง",1)))))</f>
        <v>5</v>
      </c>
    </row>
    <row r="48" spans="1:8" x14ac:dyDescent="0.2">
      <c r="B48" s="7" t="s">
        <v>93</v>
      </c>
      <c r="C48" s="7">
        <f>IF('Form Responses 1'!K16="ดีเยี่ยม",5,
IF('Form Responses 1'!K16="ดี",4,
IF('Form Responses 1'!K16="ปานกลาง",3,
IF('Form Responses 1'!K16="น้อย",2,
IF('Form Responses 1'!K16="ปรับปรุง",1)))))</f>
        <v>4</v>
      </c>
      <c r="G48" s="7" t="s">
        <v>93</v>
      </c>
      <c r="H48">
        <f>IF('Form Responses 1'!M16="ดีเยี่ยม",5,
IF('Form Responses 1'!M16="ดี",4,
IF('Form Responses 1'!M16="ปานกลาง",3,
IF('Form Responses 1'!M16="น้อย",2,
IF('Form Responses 1'!M16="ปรับปรุง",1)))))</f>
        <v>5</v>
      </c>
    </row>
    <row r="49" spans="1:14" x14ac:dyDescent="0.2">
      <c r="B49" s="7" t="s">
        <v>94</v>
      </c>
      <c r="C49" s="7">
        <f>IF('Form Responses 1'!K17="ดีเยี่ยม",5,
IF('Form Responses 1'!K17="ดี",4,
IF('Form Responses 1'!K17="ปานกลาง",3,
IF('Form Responses 1'!K17="น้อย",2,
IF('Form Responses 1'!K17="ปรับปรุง",1)))))</f>
        <v>5</v>
      </c>
      <c r="G49" s="7" t="s">
        <v>94</v>
      </c>
      <c r="H49">
        <f>IF('Form Responses 1'!M17="ดีเยี่ยม",5,
IF('Form Responses 1'!M17="ดี",4,
IF('Form Responses 1'!M17="ปานกลาง",3,
IF('Form Responses 1'!M17="น้อย",2,
IF('Form Responses 1'!M17="ปรับปรุง",1)))))</f>
        <v>5</v>
      </c>
    </row>
    <row r="50" spans="1:14" x14ac:dyDescent="0.2">
      <c r="B50" s="7" t="s">
        <v>95</v>
      </c>
      <c r="C50" s="7">
        <f>IF('Form Responses 1'!K18="ดีเยี่ยม",5,
IF('Form Responses 1'!K18="ดี",4,
IF('Form Responses 1'!K18="ปานกลาง",3,
IF('Form Responses 1'!K18="น้อย",2,
IF('Form Responses 1'!K18="ปรับปรุง",1)))))</f>
        <v>4</v>
      </c>
      <c r="G50" s="7" t="s">
        <v>95</v>
      </c>
      <c r="H50">
        <f>IF('Form Responses 1'!M18="ดีเยี่ยม",5,
IF('Form Responses 1'!M18="ดี",4,
IF('Form Responses 1'!M18="ปานกลาง",3,
IF('Form Responses 1'!M18="น้อย",2,
IF('Form Responses 1'!M18="ปรับปรุง",1)))))</f>
        <v>5</v>
      </c>
    </row>
    <row r="51" spans="1:14" x14ac:dyDescent="0.2">
      <c r="B51" s="7" t="s">
        <v>96</v>
      </c>
      <c r="C51" s="7">
        <f>IF('Form Responses 1'!K19="ดีเยี่ยม",5,
IF('Form Responses 1'!K19="ดี",4,
IF('Form Responses 1'!K19="ปานกลาง",3,
IF('Form Responses 1'!K19="น้อย",2,
IF('Form Responses 1'!K19="ปรับปรุง",1)))))</f>
        <v>4</v>
      </c>
      <c r="G51" s="7" t="s">
        <v>96</v>
      </c>
      <c r="H51">
        <f>IF('Form Responses 1'!M19="ดีเยี่ยม",5,
IF('Form Responses 1'!M19="ดี",4,
IF('Form Responses 1'!M19="ปานกลาง",3,
IF('Form Responses 1'!M19="น้อย",2,
IF('Form Responses 1'!M19="ปรับปรุง",1)))))</f>
        <v>5</v>
      </c>
    </row>
    <row r="52" spans="1:14" x14ac:dyDescent="0.2">
      <c r="B52" s="7" t="s">
        <v>97</v>
      </c>
      <c r="C52" s="7">
        <f>IF('Form Responses 1'!K20="ดีเยี่ยม",5,
IF('Form Responses 1'!K20="ดี",4,
IF('Form Responses 1'!K20="ปานกลาง",3,
IF('Form Responses 1'!K20="น้อย",2,
IF('Form Responses 1'!K20="ปรับปรุง",1)))))</f>
        <v>4</v>
      </c>
      <c r="G52" s="7" t="s">
        <v>97</v>
      </c>
      <c r="H52">
        <f>IF('Form Responses 1'!M20="ดีเยี่ยม",5,
IF('Form Responses 1'!M20="ดี",4,
IF('Form Responses 1'!M20="ปานกลาง",3,
IF('Form Responses 1'!M20="น้อย",2,
IF('Form Responses 1'!M20="ปรับปรุง",1)))))</f>
        <v>4</v>
      </c>
    </row>
    <row r="53" spans="1:14" x14ac:dyDescent="0.2">
      <c r="B53" s="7" t="s">
        <v>98</v>
      </c>
      <c r="C53" s="7">
        <f>IF('Form Responses 1'!K21="ดีเยี่ยม",5,
IF('Form Responses 1'!K21="ดี",4,
IF('Form Responses 1'!K21="ปานกลาง",3,
IF('Form Responses 1'!K21="น้อย",2,
IF('Form Responses 1'!K21="ปรับปรุง",1)))))</f>
        <v>5</v>
      </c>
      <c r="G53" s="7" t="s">
        <v>98</v>
      </c>
      <c r="H53">
        <f>IF('Form Responses 1'!M21="ดีเยี่ยม",5,
IF('Form Responses 1'!M21="ดี",4,
IF('Form Responses 1'!M21="ปานกลาง",3,
IF('Form Responses 1'!M21="น้อย",2,
IF('Form Responses 1'!M21="ปรับปรุง",1)))))</f>
        <v>5</v>
      </c>
    </row>
    <row r="54" spans="1:14" x14ac:dyDescent="0.2">
      <c r="B54" s="7" t="s">
        <v>99</v>
      </c>
      <c r="C54" s="7">
        <f>IF('Form Responses 1'!K22="ดีเยี่ยม",5,
IF('Form Responses 1'!K22="ดี",4,
IF('Form Responses 1'!K22="ปานกลาง",3,
IF('Form Responses 1'!K22="น้อย",2,
IF('Form Responses 1'!K22="ปรับปรุง",1)))))</f>
        <v>5</v>
      </c>
      <c r="G54" s="7" t="s">
        <v>99</v>
      </c>
      <c r="H54">
        <f>IF('Form Responses 1'!M22="ดีเยี่ยม",5,
IF('Form Responses 1'!M22="ดี",4,
IF('Form Responses 1'!M22="ปานกลาง",3,
IF('Form Responses 1'!M22="น้อย",2,
IF('Form Responses 1'!M22="ปรับปรุง",1)))))</f>
        <v>5</v>
      </c>
    </row>
    <row r="55" spans="1:14" x14ac:dyDescent="0.2">
      <c r="B55" s="7" t="s">
        <v>100</v>
      </c>
      <c r="C55" s="7">
        <f>IF('Form Responses 1'!K23="ดีเยี่ยม",5,
IF('Form Responses 1'!K23="ดี",4,
IF('Form Responses 1'!K23="ปานกลาง",3,
IF('Form Responses 1'!K23="น้อย",2,
IF('Form Responses 1'!K23="ปรับปรุง",1)))))</f>
        <v>5</v>
      </c>
      <c r="G55" s="7" t="s">
        <v>100</v>
      </c>
      <c r="H55">
        <f>IF('Form Responses 1'!M23="ดีเยี่ยม",5,
IF('Form Responses 1'!M23="ดี",4,
IF('Form Responses 1'!M23="ปานกลาง",3,
IF('Form Responses 1'!M23="น้อย",2,
IF('Form Responses 1'!M23="ปรับปรุง",1)))))</f>
        <v>4</v>
      </c>
    </row>
    <row r="56" spans="1:14" x14ac:dyDescent="0.2">
      <c r="B56" s="7" t="s">
        <v>101</v>
      </c>
      <c r="C56" s="7">
        <f>IF('Form Responses 1'!K24="ดีเยี่ยม",5,
IF('Form Responses 1'!K24="ดี",4,
IF('Form Responses 1'!K24="ปานกลาง",3,
IF('Form Responses 1'!K24="น้อย",2,
IF('Form Responses 1'!K24="ปรับปรุง",1)))))</f>
        <v>5</v>
      </c>
      <c r="G56" s="7" t="s">
        <v>101</v>
      </c>
      <c r="H56">
        <f>IF('Form Responses 1'!M24="ดีเยี่ยม",5,
IF('Form Responses 1'!M24="ดี",4,
IF('Form Responses 1'!M24="ปานกลาง",3,
IF('Form Responses 1'!M24="น้อย",2,
IF('Form Responses 1'!M24="ปรับปรุง",1)))))</f>
        <v>5</v>
      </c>
    </row>
    <row r="57" spans="1:14" x14ac:dyDescent="0.2">
      <c r="B57" s="7" t="s">
        <v>102</v>
      </c>
      <c r="C57" s="7">
        <f>IF('Form Responses 1'!K25="ดีเยี่ยม",5,
IF('Form Responses 1'!K25="ดี",4,
IF('Form Responses 1'!K25="ปานกลาง",3,
IF('Form Responses 1'!K25="น้อย",2,
IF('Form Responses 1'!K25="ปรับปรุง",1)))))</f>
        <v>4</v>
      </c>
      <c r="G57" s="7" t="s">
        <v>102</v>
      </c>
      <c r="H57">
        <f>IF('Form Responses 1'!M25="ดีเยี่ยม",5,
IF('Form Responses 1'!M25="ดี",4,
IF('Form Responses 1'!M25="ปานกลาง",3,
IF('Form Responses 1'!M25="น้อย",2,
IF('Form Responses 1'!M25="ปรับปรุง",1)))))</f>
        <v>5</v>
      </c>
      <c r="N57" s="12"/>
    </row>
    <row r="58" spans="1:14" x14ac:dyDescent="0.2">
      <c r="B58" s="7" t="s">
        <v>103</v>
      </c>
      <c r="C58" s="7">
        <f>IF('Form Responses 1'!K26="ดีเยี่ยม",5,
IF('Form Responses 1'!K26="ดี",4,
IF('Form Responses 1'!K26="ปานกลาง",3,
IF('Form Responses 1'!K26="น้อย",2,
IF('Form Responses 1'!K26="ปรับปรุง",1)))))</f>
        <v>4</v>
      </c>
      <c r="G58" s="7" t="s">
        <v>103</v>
      </c>
      <c r="H58">
        <f>IF('Form Responses 1'!M26="ดีเยี่ยม",5,
IF('Form Responses 1'!M26="ดี",4,
IF('Form Responses 1'!M26="ปานกลาง",3,
IF('Form Responses 1'!M26="น้อย",2,
IF('Form Responses 1'!M26="ปรับปรุง",1)))))</f>
        <v>4</v>
      </c>
    </row>
    <row r="59" spans="1:14" x14ac:dyDescent="0.2">
      <c r="B59" s="7"/>
      <c r="C59" s="7"/>
      <c r="G59" s="7"/>
    </row>
    <row r="60" spans="1:14" x14ac:dyDescent="0.2">
      <c r="B60" s="7"/>
      <c r="C60" s="7"/>
      <c r="G60" s="7"/>
    </row>
    <row r="61" spans="1:14" x14ac:dyDescent="0.2">
      <c r="B61" s="7"/>
      <c r="C61" s="7"/>
      <c r="G61" s="7"/>
    </row>
    <row r="62" spans="1:14" x14ac:dyDescent="0.2">
      <c r="B62" s="7"/>
      <c r="C62" s="7"/>
      <c r="G62" s="7"/>
    </row>
    <row r="63" spans="1:14" x14ac:dyDescent="0.2">
      <c r="B63" s="7"/>
      <c r="C63" s="7"/>
      <c r="G63" s="7"/>
    </row>
    <row r="64" spans="1:14" x14ac:dyDescent="0.2">
      <c r="A64" s="42" t="s">
        <v>78</v>
      </c>
      <c r="B64" s="42"/>
      <c r="C64" s="43">
        <f>MEDIAN(C34:C63)</f>
        <v>4</v>
      </c>
      <c r="D64" s="42"/>
      <c r="E64" s="42"/>
      <c r="F64" s="42" t="s">
        <v>78</v>
      </c>
      <c r="G64" s="42"/>
      <c r="H64" s="43">
        <f>MEDIAN(H34:H63)</f>
        <v>5</v>
      </c>
    </row>
    <row r="66" spans="2:3" x14ac:dyDescent="0.2">
      <c r="B66" s="7"/>
      <c r="C66" s="7"/>
    </row>
    <row r="67" spans="2:3" x14ac:dyDescent="0.2">
      <c r="B67" s="7"/>
      <c r="C67" s="7"/>
    </row>
    <row r="68" spans="2:3" x14ac:dyDescent="0.2">
      <c r="B68" s="7"/>
      <c r="C68" s="7"/>
    </row>
    <row r="69" spans="2:3" x14ac:dyDescent="0.2">
      <c r="B69" s="7"/>
      <c r="C69" s="7"/>
    </row>
    <row r="70" spans="2:3" x14ac:dyDescent="0.2">
      <c r="B70" s="7"/>
      <c r="C70" s="7"/>
    </row>
    <row r="71" spans="2:3" x14ac:dyDescent="0.2">
      <c r="B71" s="7"/>
      <c r="C71" s="7"/>
    </row>
    <row r="72" spans="2:3" x14ac:dyDescent="0.2">
      <c r="B72" s="7"/>
      <c r="C72" s="7"/>
    </row>
    <row r="73" spans="2:3" x14ac:dyDescent="0.2">
      <c r="B73" s="7"/>
      <c r="C73" s="7"/>
    </row>
    <row r="74" spans="2:3" x14ac:dyDescent="0.2">
      <c r="B74" s="7"/>
      <c r="C74" s="7"/>
    </row>
    <row r="75" spans="2:3" x14ac:dyDescent="0.2">
      <c r="B75" s="7"/>
      <c r="C75" s="7"/>
    </row>
    <row r="76" spans="2:3" x14ac:dyDescent="0.2">
      <c r="B76" s="7"/>
      <c r="C76" s="7"/>
    </row>
    <row r="77" spans="2:3" x14ac:dyDescent="0.2">
      <c r="B77" s="7"/>
      <c r="C77" s="7"/>
    </row>
    <row r="78" spans="2:3" x14ac:dyDescent="0.2">
      <c r="B78" s="7"/>
      <c r="C78" s="7"/>
    </row>
    <row r="79" spans="2:3" x14ac:dyDescent="0.2">
      <c r="B79" s="7"/>
      <c r="C79" s="7"/>
    </row>
    <row r="80" spans="2:3" x14ac:dyDescent="0.2">
      <c r="B80" s="7"/>
      <c r="C80" s="7"/>
    </row>
    <row r="81" spans="2:3" x14ac:dyDescent="0.2">
      <c r="B81" s="7"/>
      <c r="C81" s="7"/>
    </row>
    <row r="82" spans="2:3" x14ac:dyDescent="0.2">
      <c r="B82" s="7"/>
      <c r="C82" s="7"/>
    </row>
    <row r="83" spans="2:3" x14ac:dyDescent="0.2">
      <c r="B83" s="7"/>
      <c r="C83" s="7"/>
    </row>
    <row r="84" spans="2:3" x14ac:dyDescent="0.2">
      <c r="B84" s="7"/>
      <c r="C84" s="7"/>
    </row>
    <row r="85" spans="2:3" x14ac:dyDescent="0.2">
      <c r="B85" s="7"/>
      <c r="C85" s="7"/>
    </row>
    <row r="86" spans="2:3" x14ac:dyDescent="0.2">
      <c r="B86" s="7"/>
      <c r="C86" s="7"/>
    </row>
    <row r="87" spans="2:3" x14ac:dyDescent="0.2">
      <c r="B87" s="7"/>
      <c r="C87" s="7"/>
    </row>
    <row r="88" spans="2:3" x14ac:dyDescent="0.2">
      <c r="B88" s="7"/>
      <c r="C88" s="7"/>
    </row>
    <row r="89" spans="2:3" x14ac:dyDescent="0.2">
      <c r="B89" s="7"/>
      <c r="C89" s="7"/>
    </row>
    <row r="90" spans="2:3" x14ac:dyDescent="0.2">
      <c r="B90" s="7"/>
      <c r="C90" s="7"/>
    </row>
    <row r="91" spans="2:3" x14ac:dyDescent="0.2">
      <c r="B91" s="7"/>
      <c r="C91" s="7"/>
    </row>
    <row r="92" spans="2:3" x14ac:dyDescent="0.2">
      <c r="B92" s="7"/>
      <c r="C92" s="7"/>
    </row>
    <row r="93" spans="2:3" x14ac:dyDescent="0.2">
      <c r="B93" s="7"/>
      <c r="C93" s="7"/>
    </row>
    <row r="94" spans="2:3" x14ac:dyDescent="0.2">
      <c r="B94" s="7"/>
      <c r="C94" s="7"/>
    </row>
    <row r="95" spans="2:3" x14ac:dyDescent="0.2">
      <c r="B95" s="7"/>
      <c r="C95" s="7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6ECE-9574-4D0E-B184-7EC430814500}">
  <dimension ref="A1:M64"/>
  <sheetViews>
    <sheetView topLeftCell="A31" workbookViewId="0">
      <selection activeCell="B59" sqref="B59:H63"/>
    </sheetView>
  </sheetViews>
  <sheetFormatPr defaultRowHeight="12.75" x14ac:dyDescent="0.2"/>
  <sheetData>
    <row r="1" spans="1:13" x14ac:dyDescent="0.2">
      <c r="A1" s="7" t="s">
        <v>75</v>
      </c>
      <c r="B1" s="7" t="s">
        <v>76</v>
      </c>
      <c r="C1" s="7" t="s">
        <v>77</v>
      </c>
      <c r="D1" s="7"/>
      <c r="F1" s="7" t="s">
        <v>75</v>
      </c>
      <c r="G1" s="7" t="s">
        <v>76</v>
      </c>
      <c r="H1" s="7" t="s">
        <v>77</v>
      </c>
      <c r="K1" s="7" t="s">
        <v>75</v>
      </c>
      <c r="L1" s="7" t="s">
        <v>76</v>
      </c>
      <c r="M1" s="7" t="s">
        <v>77</v>
      </c>
    </row>
    <row r="2" spans="1:13" x14ac:dyDescent="0.2">
      <c r="A2" s="6">
        <v>1</v>
      </c>
      <c r="B2" s="7" t="s">
        <v>79</v>
      </c>
      <c r="C2" s="7">
        <f>IF('Form Responses 1'!O2="ดีเยี่ยม",5,
IF('Form Responses 1'!O2="ดี",4,
IF('Form Responses 1'!O2="ปานกลาง",3,
IF('Form Responses 1'!O2="น้อย",2,
IF('Form Responses 1'!O2="ปรับปรุง",1)))))</f>
        <v>4</v>
      </c>
      <c r="F2">
        <v>3</v>
      </c>
      <c r="G2" s="7" t="s">
        <v>79</v>
      </c>
      <c r="H2">
        <f>IF('Form Responses 1'!Q2="ดีเยี่ยม",5,
IF('Form Responses 1'!Q2="ดี",4,
IF('Form Responses 1'!Q2="ปานกลาง",3,
IF('Form Responses 1'!Q2="น้อย",2,
IF('Form Responses 1'!Q2="ปรับปรุง",1)))))</f>
        <v>4</v>
      </c>
      <c r="K2">
        <v>5</v>
      </c>
      <c r="L2" s="7" t="s">
        <v>79</v>
      </c>
      <c r="M2">
        <f>IF('Form Responses 1'!S2="ดีเยี่ยม",5,
IF('Form Responses 1'!S2="ดี",4,
IF('Form Responses 1'!S2="ปานกลาง",3,
IF('Form Responses 1'!S2="น้อย",2,
IF('Form Responses 1'!S2="ปรับปรุง",1)))))</f>
        <v>5</v>
      </c>
    </row>
    <row r="3" spans="1:13" x14ac:dyDescent="0.2">
      <c r="B3" s="7" t="s">
        <v>80</v>
      </c>
      <c r="C3" s="7">
        <f>IF('Form Responses 1'!O3="ดีเยี่ยม",5,
IF('Form Responses 1'!O3="ดี",4,
IF('Form Responses 1'!O3="ปานกลาง",3,
IF('Form Responses 1'!O3="น้อย",2,
IF('Form Responses 1'!O3="ปรับปรุง",1)))))</f>
        <v>4</v>
      </c>
      <c r="G3" s="7" t="s">
        <v>80</v>
      </c>
      <c r="H3">
        <f>IF('Form Responses 1'!Q3="ดีเยี่ยม",5,
IF('Form Responses 1'!Q3="ดี",4,
IF('Form Responses 1'!Q3="ปานกลาง",3,
IF('Form Responses 1'!Q3="น้อย",2,
IF('Form Responses 1'!Q3="ปรับปรุง",1)))))</f>
        <v>5</v>
      </c>
      <c r="L3" s="7" t="s">
        <v>80</v>
      </c>
      <c r="M3">
        <f>IF('Form Responses 1'!S3="ดีเยี่ยม",5,
IF('Form Responses 1'!S3="ดี",4,
IF('Form Responses 1'!S3="ปานกลาง",3,
IF('Form Responses 1'!S3="น้อย",2,
IF('Form Responses 1'!S3="ปรับปรุง",1)))))</f>
        <v>5</v>
      </c>
    </row>
    <row r="4" spans="1:13" x14ac:dyDescent="0.2">
      <c r="B4" s="7" t="s">
        <v>81</v>
      </c>
      <c r="C4" s="7">
        <f>IF('Form Responses 1'!O4="ดีเยี่ยม",5,
IF('Form Responses 1'!O4="ดี",4,
IF('Form Responses 1'!O4="ปานกลาง",3,
IF('Form Responses 1'!O4="น้อย",2,
IF('Form Responses 1'!O4="ปรับปรุง",1)))))</f>
        <v>5</v>
      </c>
      <c r="G4" s="7" t="s">
        <v>81</v>
      </c>
      <c r="H4">
        <f>IF('Form Responses 1'!Q4="ดีเยี่ยม",5,
IF('Form Responses 1'!Q4="ดี",4,
IF('Form Responses 1'!Q4="ปานกลาง",3,
IF('Form Responses 1'!Q4="น้อย",2,
IF('Form Responses 1'!Q4="ปรับปรุง",1)))))</f>
        <v>4</v>
      </c>
      <c r="L4" s="7" t="s">
        <v>81</v>
      </c>
      <c r="M4">
        <f>IF('Form Responses 1'!S4="ดีเยี่ยม",5,
IF('Form Responses 1'!S4="ดี",4,
IF('Form Responses 1'!S4="ปานกลาง",3,
IF('Form Responses 1'!S4="น้อย",2,
IF('Form Responses 1'!S4="ปรับปรุง",1)))))</f>
        <v>5</v>
      </c>
    </row>
    <row r="5" spans="1:13" x14ac:dyDescent="0.2">
      <c r="B5" s="7" t="s">
        <v>82</v>
      </c>
      <c r="C5" s="7">
        <f>IF('Form Responses 1'!O5="ดีเยี่ยม",5,
IF('Form Responses 1'!O5="ดี",4,
IF('Form Responses 1'!O5="ปานกลาง",3,
IF('Form Responses 1'!O5="น้อย",2,
IF('Form Responses 1'!O5="ปรับปรุง",1)))))</f>
        <v>4</v>
      </c>
      <c r="G5" s="7" t="s">
        <v>82</v>
      </c>
      <c r="H5">
        <f>IF('Form Responses 1'!Q5="ดีเยี่ยม",5,
IF('Form Responses 1'!Q5="ดี",4,
IF('Form Responses 1'!Q5="ปานกลาง",3,
IF('Form Responses 1'!Q5="น้อย",2,
IF('Form Responses 1'!Q5="ปรับปรุง",1)))))</f>
        <v>4</v>
      </c>
      <c r="L5" s="7" t="s">
        <v>82</v>
      </c>
      <c r="M5">
        <f>IF('Form Responses 1'!S5="ดีเยี่ยม",5,
IF('Form Responses 1'!S5="ดี",4,
IF('Form Responses 1'!S5="ปานกลาง",3,
IF('Form Responses 1'!S5="น้อย",2,
IF('Form Responses 1'!S5="ปรับปรุง",1)))))</f>
        <v>4</v>
      </c>
    </row>
    <row r="6" spans="1:13" x14ac:dyDescent="0.2">
      <c r="B6" s="7" t="s">
        <v>83</v>
      </c>
      <c r="C6" s="7">
        <f>IF('Form Responses 1'!O6="ดีเยี่ยม",5,
IF('Form Responses 1'!O6="ดี",4,
IF('Form Responses 1'!O6="ปานกลาง",3,
IF('Form Responses 1'!O6="น้อย",2,
IF('Form Responses 1'!O6="ปรับปรุง",1)))))</f>
        <v>5</v>
      </c>
      <c r="G6" s="7" t="s">
        <v>83</v>
      </c>
      <c r="H6">
        <f>IF('Form Responses 1'!Q6="ดีเยี่ยม",5,
IF('Form Responses 1'!Q6="ดี",4,
IF('Form Responses 1'!Q6="ปานกลาง",3,
IF('Form Responses 1'!Q6="น้อย",2,
IF('Form Responses 1'!Q6="ปรับปรุง",1)))))</f>
        <v>5</v>
      </c>
      <c r="L6" s="7" t="s">
        <v>83</v>
      </c>
      <c r="M6">
        <f>IF('Form Responses 1'!S6="ดีเยี่ยม",5,
IF('Form Responses 1'!S6="ดี",4,
IF('Form Responses 1'!S6="ปานกลาง",3,
IF('Form Responses 1'!S6="น้อย",2,
IF('Form Responses 1'!S6="ปรับปรุง",1)))))</f>
        <v>5</v>
      </c>
    </row>
    <row r="7" spans="1:13" x14ac:dyDescent="0.2">
      <c r="B7" s="7" t="s">
        <v>84</v>
      </c>
      <c r="C7" s="7">
        <f>IF('Form Responses 1'!O7="ดีเยี่ยม",5,
IF('Form Responses 1'!O7="ดี",4,
IF('Form Responses 1'!O7="ปานกลาง",3,
IF('Form Responses 1'!O7="น้อย",2,
IF('Form Responses 1'!O7="ปรับปรุง",1)))))</f>
        <v>4</v>
      </c>
      <c r="G7" s="7" t="s">
        <v>84</v>
      </c>
      <c r="H7">
        <f>IF('Form Responses 1'!Q7="ดีเยี่ยม",5,
IF('Form Responses 1'!Q7="ดี",4,
IF('Form Responses 1'!Q7="ปานกลาง",3,
IF('Form Responses 1'!Q7="น้อย",2,
IF('Form Responses 1'!Q7="ปรับปรุง",1)))))</f>
        <v>5</v>
      </c>
      <c r="L7" s="7" t="s">
        <v>84</v>
      </c>
      <c r="M7">
        <f>IF('Form Responses 1'!S7="ดีเยี่ยม",5,
IF('Form Responses 1'!S7="ดี",4,
IF('Form Responses 1'!S7="ปานกลาง",3,
IF('Form Responses 1'!S7="น้อย",2,
IF('Form Responses 1'!S7="ปรับปรุง",1)))))</f>
        <v>5</v>
      </c>
    </row>
    <row r="8" spans="1:13" x14ac:dyDescent="0.2">
      <c r="B8" s="7" t="s">
        <v>85</v>
      </c>
      <c r="C8" s="7">
        <f>IF('Form Responses 1'!O8="ดีเยี่ยม",5,
IF('Form Responses 1'!O8="ดี",4,
IF('Form Responses 1'!O8="ปานกลาง",3,
IF('Form Responses 1'!O8="น้อย",2,
IF('Form Responses 1'!O8="ปรับปรุง",1)))))</f>
        <v>5</v>
      </c>
      <c r="G8" s="7" t="s">
        <v>85</v>
      </c>
      <c r="H8">
        <f>IF('Form Responses 1'!Q8="ดีเยี่ยม",5,
IF('Form Responses 1'!Q8="ดี",4,
IF('Form Responses 1'!Q8="ปานกลาง",3,
IF('Form Responses 1'!Q8="น้อย",2,
IF('Form Responses 1'!Q8="ปรับปรุง",1)))))</f>
        <v>5</v>
      </c>
      <c r="L8" s="7" t="s">
        <v>85</v>
      </c>
      <c r="M8">
        <f>IF('Form Responses 1'!S8="ดีเยี่ยม",5,
IF('Form Responses 1'!S8="ดี",4,
IF('Form Responses 1'!S8="ปานกลาง",3,
IF('Form Responses 1'!S8="น้อย",2,
IF('Form Responses 1'!S8="ปรับปรุง",1)))))</f>
        <v>4</v>
      </c>
    </row>
    <row r="9" spans="1:13" x14ac:dyDescent="0.2">
      <c r="B9" s="7" t="s">
        <v>86</v>
      </c>
      <c r="C9" s="7">
        <f>IF('Form Responses 1'!O9="ดีเยี่ยม",5,
IF('Form Responses 1'!O9="ดี",4,
IF('Form Responses 1'!O9="ปานกลาง",3,
IF('Form Responses 1'!O9="น้อย",2,
IF('Form Responses 1'!O9="ปรับปรุง",1)))))</f>
        <v>5</v>
      </c>
      <c r="G9" s="7" t="s">
        <v>86</v>
      </c>
      <c r="H9">
        <f>IF('Form Responses 1'!Q9="ดีเยี่ยม",5,
IF('Form Responses 1'!Q9="ดี",4,
IF('Form Responses 1'!Q9="ปานกลาง",3,
IF('Form Responses 1'!Q9="น้อย",2,
IF('Form Responses 1'!Q9="ปรับปรุง",1)))))</f>
        <v>5</v>
      </c>
      <c r="L9" s="7" t="s">
        <v>86</v>
      </c>
      <c r="M9">
        <f>IF('Form Responses 1'!S9="ดีเยี่ยม",5,
IF('Form Responses 1'!S9="ดี",4,
IF('Form Responses 1'!S9="ปานกลาง",3,
IF('Form Responses 1'!S9="น้อย",2,
IF('Form Responses 1'!S9="ปรับปรุง",1)))))</f>
        <v>4</v>
      </c>
    </row>
    <row r="10" spans="1:13" x14ac:dyDescent="0.2">
      <c r="B10" s="7" t="s">
        <v>87</v>
      </c>
      <c r="C10" s="7">
        <f>IF('Form Responses 1'!O10="ดีเยี่ยม",5,
IF('Form Responses 1'!O10="ดี",4,
IF('Form Responses 1'!O10="ปานกลาง",3,
IF('Form Responses 1'!O10="น้อย",2,
IF('Form Responses 1'!O10="ปรับปรุง",1)))))</f>
        <v>5</v>
      </c>
      <c r="G10" s="7" t="s">
        <v>87</v>
      </c>
      <c r="H10">
        <f>IF('Form Responses 1'!Q10="ดีเยี่ยม",5,
IF('Form Responses 1'!Q10="ดี",4,
IF('Form Responses 1'!Q10="ปานกลาง",3,
IF('Form Responses 1'!Q10="น้อย",2,
IF('Form Responses 1'!Q10="ปรับปรุง",1)))))</f>
        <v>5</v>
      </c>
      <c r="L10" s="7" t="s">
        <v>87</v>
      </c>
      <c r="M10">
        <f>IF('Form Responses 1'!S10="ดีเยี่ยม",5,
IF('Form Responses 1'!S10="ดี",4,
IF('Form Responses 1'!S10="ปานกลาง",3,
IF('Form Responses 1'!S10="น้อย",2,
IF('Form Responses 1'!S10="ปรับปรุง",1)))))</f>
        <v>5</v>
      </c>
    </row>
    <row r="11" spans="1:13" x14ac:dyDescent="0.2">
      <c r="B11" s="7" t="s">
        <v>88</v>
      </c>
      <c r="C11" s="7">
        <f>IF('Form Responses 1'!O11="ดีเยี่ยม",5,
IF('Form Responses 1'!O11="ดี",4,
IF('Form Responses 1'!O11="ปานกลาง",3,
IF('Form Responses 1'!O11="น้อย",2,
IF('Form Responses 1'!O11="ปรับปรุง",1)))))</f>
        <v>5</v>
      </c>
      <c r="G11" s="7" t="s">
        <v>88</v>
      </c>
      <c r="H11">
        <f>IF('Form Responses 1'!Q11="ดีเยี่ยม",5,
IF('Form Responses 1'!Q11="ดี",4,
IF('Form Responses 1'!Q11="ปานกลาง",3,
IF('Form Responses 1'!Q11="น้อย",2,
IF('Form Responses 1'!Q11="ปรับปรุง",1)))))</f>
        <v>5</v>
      </c>
      <c r="L11" s="7" t="s">
        <v>88</v>
      </c>
      <c r="M11">
        <f>IF('Form Responses 1'!S11="ดีเยี่ยม",5,
IF('Form Responses 1'!S11="ดี",4,
IF('Form Responses 1'!S11="ปานกลาง",3,
IF('Form Responses 1'!S11="น้อย",2,
IF('Form Responses 1'!S11="ปรับปรุง",1)))))</f>
        <v>5</v>
      </c>
    </row>
    <row r="12" spans="1:13" x14ac:dyDescent="0.2">
      <c r="B12" s="7" t="s">
        <v>89</v>
      </c>
      <c r="C12" s="7">
        <f>IF('Form Responses 1'!O12="ดีเยี่ยม",5,
IF('Form Responses 1'!O12="ดี",4,
IF('Form Responses 1'!O12="ปานกลาง",3,
IF('Form Responses 1'!O12="น้อย",2,
IF('Form Responses 1'!O12="ปรับปรุง",1)))))</f>
        <v>5</v>
      </c>
      <c r="G12" s="7" t="s">
        <v>89</v>
      </c>
      <c r="H12">
        <f>IF('Form Responses 1'!Q12="ดีเยี่ยม",5,
IF('Form Responses 1'!Q12="ดี",4,
IF('Form Responses 1'!Q12="ปานกลาง",3,
IF('Form Responses 1'!Q12="น้อย",2,
IF('Form Responses 1'!Q12="ปรับปรุง",1)))))</f>
        <v>5</v>
      </c>
      <c r="L12" s="7" t="s">
        <v>89</v>
      </c>
      <c r="M12">
        <f>IF('Form Responses 1'!S12="ดีเยี่ยม",5,
IF('Form Responses 1'!S12="ดี",4,
IF('Form Responses 1'!S12="ปานกลาง",3,
IF('Form Responses 1'!S12="น้อย",2,
IF('Form Responses 1'!S12="ปรับปรุง",1)))))</f>
        <v>5</v>
      </c>
    </row>
    <row r="13" spans="1:13" x14ac:dyDescent="0.2">
      <c r="B13" s="7" t="s">
        <v>90</v>
      </c>
      <c r="C13" s="7">
        <f>IF('Form Responses 1'!O13="ดีเยี่ยม",5,
IF('Form Responses 1'!O13="ดี",4,
IF('Form Responses 1'!O13="ปานกลาง",3,
IF('Form Responses 1'!O13="น้อย",2,
IF('Form Responses 1'!O13="ปรับปรุง",1)))))</f>
        <v>4</v>
      </c>
      <c r="G13" s="7" t="s">
        <v>90</v>
      </c>
      <c r="H13">
        <f>IF('Form Responses 1'!Q13="ดีเยี่ยม",5,
IF('Form Responses 1'!Q13="ดี",4,
IF('Form Responses 1'!Q13="ปานกลาง",3,
IF('Form Responses 1'!Q13="น้อย",2,
IF('Form Responses 1'!Q13="ปรับปรุง",1)))))</f>
        <v>5</v>
      </c>
      <c r="L13" s="7" t="s">
        <v>90</v>
      </c>
      <c r="M13">
        <f>IF('Form Responses 1'!S13="ดีเยี่ยม",5,
IF('Form Responses 1'!S13="ดี",4,
IF('Form Responses 1'!S13="ปานกลาง",3,
IF('Form Responses 1'!S13="น้อย",2,
IF('Form Responses 1'!S13="ปรับปรุง",1)))))</f>
        <v>5</v>
      </c>
    </row>
    <row r="14" spans="1:13" x14ac:dyDescent="0.2">
      <c r="B14" s="7" t="s">
        <v>91</v>
      </c>
      <c r="C14" s="7">
        <f>IF('Form Responses 1'!O14="ดีเยี่ยม",5,
IF('Form Responses 1'!O14="ดี",4,
IF('Form Responses 1'!O14="ปานกลาง",3,
IF('Form Responses 1'!O14="น้อย",2,
IF('Form Responses 1'!O14="ปรับปรุง",1)))))</f>
        <v>4</v>
      </c>
      <c r="G14" s="7" t="s">
        <v>91</v>
      </c>
      <c r="H14">
        <f>IF('Form Responses 1'!Q14="ดีเยี่ยม",5,
IF('Form Responses 1'!Q14="ดี",4,
IF('Form Responses 1'!Q14="ปานกลาง",3,
IF('Form Responses 1'!Q14="น้อย",2,
IF('Form Responses 1'!Q14="ปรับปรุง",1)))))</f>
        <v>4</v>
      </c>
      <c r="L14" s="7" t="s">
        <v>91</v>
      </c>
      <c r="M14">
        <f>IF('Form Responses 1'!S14="ดีเยี่ยม",5,
IF('Form Responses 1'!S14="ดี",4,
IF('Form Responses 1'!S14="ปานกลาง",3,
IF('Form Responses 1'!S14="น้อย",2,
IF('Form Responses 1'!S14="ปรับปรุง",1)))))</f>
        <v>5</v>
      </c>
    </row>
    <row r="15" spans="1:13" x14ac:dyDescent="0.2">
      <c r="B15" s="7" t="s">
        <v>92</v>
      </c>
      <c r="C15" s="7">
        <f>IF('Form Responses 1'!O15="ดีเยี่ยม",5,
IF('Form Responses 1'!O15="ดี",4,
IF('Form Responses 1'!O15="ปานกลาง",3,
IF('Form Responses 1'!O15="น้อย",2,
IF('Form Responses 1'!O15="ปรับปรุง",1)))))</f>
        <v>4</v>
      </c>
      <c r="G15" s="7" t="s">
        <v>92</v>
      </c>
      <c r="H15">
        <f>IF('Form Responses 1'!Q15="ดีเยี่ยม",5,
IF('Form Responses 1'!Q15="ดี",4,
IF('Form Responses 1'!Q15="ปานกลาง",3,
IF('Form Responses 1'!Q15="น้อย",2,
IF('Form Responses 1'!Q15="ปรับปรุง",1)))))</f>
        <v>5</v>
      </c>
      <c r="L15" s="7" t="s">
        <v>92</v>
      </c>
      <c r="M15">
        <f>IF('Form Responses 1'!S15="ดีเยี่ยม",5,
IF('Form Responses 1'!S15="ดี",4,
IF('Form Responses 1'!S15="ปานกลาง",3,
IF('Form Responses 1'!S15="น้อย",2,
IF('Form Responses 1'!S15="ปรับปรุง",1)))))</f>
        <v>4</v>
      </c>
    </row>
    <row r="16" spans="1:13" x14ac:dyDescent="0.2">
      <c r="B16" s="7" t="s">
        <v>93</v>
      </c>
      <c r="C16" s="7">
        <f>IF('Form Responses 1'!O16="ดีเยี่ยม",5,
IF('Form Responses 1'!O16="ดี",4,
IF('Form Responses 1'!O16="ปานกลาง",3,
IF('Form Responses 1'!O16="น้อย",2,
IF('Form Responses 1'!O16="ปรับปรุง",1)))))</f>
        <v>4</v>
      </c>
      <c r="G16" s="7" t="s">
        <v>93</v>
      </c>
      <c r="H16">
        <f>IF('Form Responses 1'!Q16="ดีเยี่ยม",5,
IF('Form Responses 1'!Q16="ดี",4,
IF('Form Responses 1'!Q16="ปานกลาง",3,
IF('Form Responses 1'!Q16="น้อย",2,
IF('Form Responses 1'!Q16="ปรับปรุง",1)))))</f>
        <v>5</v>
      </c>
      <c r="L16" s="7" t="s">
        <v>93</v>
      </c>
      <c r="M16">
        <f>IF('Form Responses 1'!S16="ดีเยี่ยม",5,
IF('Form Responses 1'!S16="ดี",4,
IF('Form Responses 1'!S16="ปานกลาง",3,
IF('Form Responses 1'!S16="น้อย",2,
IF('Form Responses 1'!S16="ปรับปรุง",1)))))</f>
        <v>5</v>
      </c>
    </row>
    <row r="17" spans="1:13" x14ac:dyDescent="0.2">
      <c r="B17" s="7" t="s">
        <v>94</v>
      </c>
      <c r="C17" s="7">
        <f>IF('Form Responses 1'!O17="ดีเยี่ยม",5,
IF('Form Responses 1'!O17="ดี",4,
IF('Form Responses 1'!O17="ปานกลาง",3,
IF('Form Responses 1'!O17="น้อย",2,
IF('Form Responses 1'!O17="ปรับปรุง",1)))))</f>
        <v>5</v>
      </c>
      <c r="G17" s="7" t="s">
        <v>94</v>
      </c>
      <c r="H17">
        <f>IF('Form Responses 1'!Q17="ดีเยี่ยม",5,
IF('Form Responses 1'!Q17="ดี",4,
IF('Form Responses 1'!Q17="ปานกลาง",3,
IF('Form Responses 1'!Q17="น้อย",2,
IF('Form Responses 1'!Q17="ปรับปรุง",1)))))</f>
        <v>5</v>
      </c>
      <c r="L17" s="7" t="s">
        <v>94</v>
      </c>
      <c r="M17">
        <f>IF('Form Responses 1'!S17="ดีเยี่ยม",5,
IF('Form Responses 1'!S17="ดี",4,
IF('Form Responses 1'!S17="ปานกลาง",3,
IF('Form Responses 1'!S17="น้อย",2,
IF('Form Responses 1'!S17="ปรับปรุง",1)))))</f>
        <v>5</v>
      </c>
    </row>
    <row r="18" spans="1:13" x14ac:dyDescent="0.2">
      <c r="B18" s="7" t="s">
        <v>95</v>
      </c>
      <c r="C18" s="7">
        <f>IF('Form Responses 1'!O18="ดีเยี่ยม",5,
IF('Form Responses 1'!O18="ดี",4,
IF('Form Responses 1'!O18="ปานกลาง",3,
IF('Form Responses 1'!O18="น้อย",2,
IF('Form Responses 1'!O18="ปรับปรุง",1)))))</f>
        <v>4</v>
      </c>
      <c r="G18" s="7" t="s">
        <v>95</v>
      </c>
      <c r="H18">
        <f>IF('Form Responses 1'!Q18="ดีเยี่ยม",5,
IF('Form Responses 1'!Q18="ดี",4,
IF('Form Responses 1'!Q18="ปานกลาง",3,
IF('Form Responses 1'!Q18="น้อย",2,
IF('Form Responses 1'!Q18="ปรับปรุง",1)))))</f>
        <v>5</v>
      </c>
      <c r="L18" s="7" t="s">
        <v>95</v>
      </c>
      <c r="M18">
        <f>IF('Form Responses 1'!S18="ดีเยี่ยม",5,
IF('Form Responses 1'!S18="ดี",4,
IF('Form Responses 1'!S18="ปานกลาง",3,
IF('Form Responses 1'!S18="น้อย",2,
IF('Form Responses 1'!S18="ปรับปรุง",1)))))</f>
        <v>5</v>
      </c>
    </row>
    <row r="19" spans="1:13" x14ac:dyDescent="0.2">
      <c r="B19" s="7" t="s">
        <v>96</v>
      </c>
      <c r="C19" s="7">
        <f>IF('Form Responses 1'!O19="ดีเยี่ยม",5,
IF('Form Responses 1'!O19="ดี",4,
IF('Form Responses 1'!O19="ปานกลาง",3,
IF('Form Responses 1'!O19="น้อย",2,
IF('Form Responses 1'!O19="ปรับปรุง",1)))))</f>
        <v>4</v>
      </c>
      <c r="G19" s="7" t="s">
        <v>96</v>
      </c>
      <c r="H19">
        <f>IF('Form Responses 1'!Q19="ดีเยี่ยม",5,
IF('Form Responses 1'!Q19="ดี",4,
IF('Form Responses 1'!Q19="ปานกลาง",3,
IF('Form Responses 1'!Q19="น้อย",2,
IF('Form Responses 1'!Q19="ปรับปรุง",1)))))</f>
        <v>5</v>
      </c>
      <c r="L19" s="7" t="s">
        <v>96</v>
      </c>
      <c r="M19">
        <f>IF('Form Responses 1'!S19="ดีเยี่ยม",5,
IF('Form Responses 1'!S19="ดี",4,
IF('Form Responses 1'!S19="ปานกลาง",3,
IF('Form Responses 1'!S19="น้อย",2,
IF('Form Responses 1'!S19="ปรับปรุง",1)))))</f>
        <v>4</v>
      </c>
    </row>
    <row r="20" spans="1:13" x14ac:dyDescent="0.2">
      <c r="B20" s="7" t="s">
        <v>97</v>
      </c>
      <c r="C20" s="7">
        <f>IF('Form Responses 1'!O20="ดีเยี่ยม",5,
IF('Form Responses 1'!O20="ดี",4,
IF('Form Responses 1'!O20="ปานกลาง",3,
IF('Form Responses 1'!O20="น้อย",2,
IF('Form Responses 1'!O20="ปรับปรุง",1)))))</f>
        <v>4</v>
      </c>
      <c r="G20" s="7" t="s">
        <v>97</v>
      </c>
      <c r="H20">
        <f>IF('Form Responses 1'!Q20="ดีเยี่ยม",5,
IF('Form Responses 1'!Q20="ดี",4,
IF('Form Responses 1'!Q20="ปานกลาง",3,
IF('Form Responses 1'!Q20="น้อย",2,
IF('Form Responses 1'!Q20="ปรับปรุง",1)))))</f>
        <v>4</v>
      </c>
      <c r="L20" s="7" t="s">
        <v>97</v>
      </c>
      <c r="M20">
        <f>IF('Form Responses 1'!S20="ดีเยี่ยม",5,
IF('Form Responses 1'!S20="ดี",4,
IF('Form Responses 1'!S20="ปานกลาง",3,
IF('Form Responses 1'!S20="น้อย",2,
IF('Form Responses 1'!S20="ปรับปรุง",1)))))</f>
        <v>4</v>
      </c>
    </row>
    <row r="21" spans="1:13" x14ac:dyDescent="0.2">
      <c r="B21" s="7" t="s">
        <v>98</v>
      </c>
      <c r="C21" s="7">
        <f>IF('Form Responses 1'!O21="ดีเยี่ยม",5,
IF('Form Responses 1'!O21="ดี",4,
IF('Form Responses 1'!O21="ปานกลาง",3,
IF('Form Responses 1'!O21="น้อย",2,
IF('Form Responses 1'!O21="ปรับปรุง",1)))))</f>
        <v>5</v>
      </c>
      <c r="G21" s="7" t="s">
        <v>98</v>
      </c>
      <c r="H21">
        <f>IF('Form Responses 1'!Q21="ดีเยี่ยม",5,
IF('Form Responses 1'!Q21="ดี",4,
IF('Form Responses 1'!Q21="ปานกลาง",3,
IF('Form Responses 1'!Q21="น้อย",2,
IF('Form Responses 1'!Q21="ปรับปรุง",1)))))</f>
        <v>5</v>
      </c>
      <c r="L21" s="7" t="s">
        <v>98</v>
      </c>
      <c r="M21">
        <f>IF('Form Responses 1'!S21="ดีเยี่ยม",5,
IF('Form Responses 1'!S21="ดี",4,
IF('Form Responses 1'!S21="ปานกลาง",3,
IF('Form Responses 1'!S21="น้อย",2,
IF('Form Responses 1'!S21="ปรับปรุง",1)))))</f>
        <v>5</v>
      </c>
    </row>
    <row r="22" spans="1:13" x14ac:dyDescent="0.2">
      <c r="B22" s="7" t="s">
        <v>99</v>
      </c>
      <c r="C22" s="7">
        <f>IF('Form Responses 1'!O22="ดีเยี่ยม",5,
IF('Form Responses 1'!O22="ดี",4,
IF('Form Responses 1'!O22="ปานกลาง",3,
IF('Form Responses 1'!O22="น้อย",2,
IF('Form Responses 1'!O22="ปรับปรุง",1)))))</f>
        <v>5</v>
      </c>
      <c r="G22" s="7" t="s">
        <v>99</v>
      </c>
      <c r="H22">
        <f>IF('Form Responses 1'!Q22="ดีเยี่ยม",5,
IF('Form Responses 1'!Q22="ดี",4,
IF('Form Responses 1'!Q22="ปานกลาง",3,
IF('Form Responses 1'!Q22="น้อย",2,
IF('Form Responses 1'!Q22="ปรับปรุง",1)))))</f>
        <v>3</v>
      </c>
      <c r="L22" s="7" t="s">
        <v>99</v>
      </c>
      <c r="M22">
        <f>IF('Form Responses 1'!S22="ดีเยี่ยม",5,
IF('Form Responses 1'!S22="ดี",4,
IF('Form Responses 1'!S22="ปานกลาง",3,
IF('Form Responses 1'!S22="น้อย",2,
IF('Form Responses 1'!S22="ปรับปรุง",1)))))</f>
        <v>5</v>
      </c>
    </row>
    <row r="23" spans="1:13" x14ac:dyDescent="0.2">
      <c r="B23" s="7" t="s">
        <v>100</v>
      </c>
      <c r="C23" s="7">
        <f>IF('Form Responses 1'!O23="ดีเยี่ยม",5,
IF('Form Responses 1'!O23="ดี",4,
IF('Form Responses 1'!O23="ปานกลาง",3,
IF('Form Responses 1'!O23="น้อย",2,
IF('Form Responses 1'!O23="ปรับปรุง",1)))))</f>
        <v>5</v>
      </c>
      <c r="G23" s="7" t="s">
        <v>100</v>
      </c>
      <c r="H23">
        <f>IF('Form Responses 1'!Q23="ดีเยี่ยม",5,
IF('Form Responses 1'!Q23="ดี",4,
IF('Form Responses 1'!Q23="ปานกลาง",3,
IF('Form Responses 1'!Q23="น้อย",2,
IF('Form Responses 1'!Q23="ปรับปรุง",1)))))</f>
        <v>5</v>
      </c>
      <c r="L23" s="7" t="s">
        <v>100</v>
      </c>
      <c r="M23">
        <f>IF('Form Responses 1'!S23="ดีเยี่ยม",5,
IF('Form Responses 1'!S23="ดี",4,
IF('Form Responses 1'!S23="ปานกลาง",3,
IF('Form Responses 1'!S23="น้อย",2,
IF('Form Responses 1'!S23="ปรับปรุง",1)))))</f>
        <v>5</v>
      </c>
    </row>
    <row r="24" spans="1:13" x14ac:dyDescent="0.2">
      <c r="B24" s="7" t="s">
        <v>101</v>
      </c>
      <c r="C24" s="7">
        <f>IF('Form Responses 1'!O24="ดีเยี่ยม",5,
IF('Form Responses 1'!O24="ดี",4,
IF('Form Responses 1'!O24="ปานกลาง",3,
IF('Form Responses 1'!O24="น้อย",2,
IF('Form Responses 1'!O24="ปรับปรุง",1)))))</f>
        <v>5</v>
      </c>
      <c r="G24" s="7" t="s">
        <v>101</v>
      </c>
      <c r="H24">
        <f>IF('Form Responses 1'!Q24="ดีเยี่ยม",5,
IF('Form Responses 1'!Q24="ดี",4,
IF('Form Responses 1'!Q24="ปานกลาง",3,
IF('Form Responses 1'!Q24="น้อย",2,
IF('Form Responses 1'!Q24="ปรับปรุง",1)))))</f>
        <v>5</v>
      </c>
      <c r="L24" s="7" t="s">
        <v>101</v>
      </c>
      <c r="M24">
        <f>IF('Form Responses 1'!S24="ดีเยี่ยม",5,
IF('Form Responses 1'!S24="ดี",4,
IF('Form Responses 1'!S24="ปานกลาง",3,
IF('Form Responses 1'!S24="น้อย",2,
IF('Form Responses 1'!S24="ปรับปรุง",1)))))</f>
        <v>5</v>
      </c>
    </row>
    <row r="25" spans="1:13" x14ac:dyDescent="0.2">
      <c r="B25" s="7" t="s">
        <v>102</v>
      </c>
      <c r="C25" s="7">
        <f>IF('Form Responses 1'!O25="ดีเยี่ยม",5,
IF('Form Responses 1'!O25="ดี",4,
IF('Form Responses 1'!O25="ปานกลาง",3,
IF('Form Responses 1'!O25="น้อย",2,
IF('Form Responses 1'!O25="ปรับปรุง",1)))))</f>
        <v>5</v>
      </c>
      <c r="G25" s="7" t="s">
        <v>102</v>
      </c>
      <c r="H25">
        <f>IF('Form Responses 1'!Q25="ดีเยี่ยม",5,
IF('Form Responses 1'!Q25="ดี",4,
IF('Form Responses 1'!Q25="ปานกลาง",3,
IF('Form Responses 1'!Q25="น้อย",2,
IF('Form Responses 1'!Q25="ปรับปรุง",1)))))</f>
        <v>5</v>
      </c>
      <c r="L25" s="7" t="s">
        <v>102</v>
      </c>
      <c r="M25">
        <f>IF('Form Responses 1'!S25="ดีเยี่ยม",5,
IF('Form Responses 1'!S25="ดี",4,
IF('Form Responses 1'!S25="ปานกลาง",3,
IF('Form Responses 1'!S25="น้อย",2,
IF('Form Responses 1'!S25="ปรับปรุง",1)))))</f>
        <v>5</v>
      </c>
    </row>
    <row r="26" spans="1:13" x14ac:dyDescent="0.2">
      <c r="B26" s="7" t="s">
        <v>103</v>
      </c>
      <c r="C26" s="7">
        <f>IF('Form Responses 1'!O26="ดีเยี่ยม",5,
IF('Form Responses 1'!O26="ดี",4,
IF('Form Responses 1'!O26="ปานกลาง",3,
IF('Form Responses 1'!O26="น้อย",2,
IF('Form Responses 1'!O26="ปรับปรุง",1)))))</f>
        <v>5</v>
      </c>
      <c r="G26" s="7" t="s">
        <v>103</v>
      </c>
      <c r="H26">
        <f>IF('Form Responses 1'!Q26="ดีเยี่ยม",5,
IF('Form Responses 1'!Q26="ดี",4,
IF('Form Responses 1'!Q26="ปานกลาง",3,
IF('Form Responses 1'!Q26="น้อย",2,
IF('Form Responses 1'!Q26="ปรับปรุง",1)))))</f>
        <v>5</v>
      </c>
      <c r="L26" s="7" t="s">
        <v>103</v>
      </c>
      <c r="M26">
        <f>IF('Form Responses 1'!S26="ดีเยี่ยม",5,
IF('Form Responses 1'!S26="ดี",4,
IF('Form Responses 1'!S26="ปานกลาง",3,
IF('Form Responses 1'!S26="น้อย",2,
IF('Form Responses 1'!S26="ปรับปรุง",1)))))</f>
        <v>5</v>
      </c>
    </row>
    <row r="27" spans="1:13" x14ac:dyDescent="0.2">
      <c r="B27" s="7"/>
      <c r="C27" s="7"/>
      <c r="G27" s="7"/>
      <c r="L27" s="7"/>
    </row>
    <row r="28" spans="1:13" x14ac:dyDescent="0.2">
      <c r="B28" s="7"/>
      <c r="C28" s="7"/>
      <c r="G28" s="7"/>
      <c r="L28" s="7"/>
    </row>
    <row r="29" spans="1:13" x14ac:dyDescent="0.2">
      <c r="B29" s="7"/>
      <c r="C29" s="7"/>
      <c r="G29" s="7"/>
      <c r="L29" s="7"/>
    </row>
    <row r="30" spans="1:13" x14ac:dyDescent="0.2">
      <c r="B30" s="7"/>
      <c r="C30" s="7"/>
      <c r="G30" s="7"/>
      <c r="L30" s="7"/>
    </row>
    <row r="31" spans="1:13" x14ac:dyDescent="0.2">
      <c r="B31" s="7"/>
      <c r="C31" s="7"/>
      <c r="G31" s="7"/>
      <c r="L31" s="7"/>
    </row>
    <row r="32" spans="1:13" x14ac:dyDescent="0.2">
      <c r="A32" s="42" t="s">
        <v>78</v>
      </c>
      <c r="B32" s="42"/>
      <c r="C32" s="42">
        <f>MEDIAN(C2:C31)</f>
        <v>5</v>
      </c>
      <c r="D32" s="42"/>
      <c r="E32" s="42"/>
      <c r="F32" s="42" t="s">
        <v>78</v>
      </c>
      <c r="G32" s="42"/>
      <c r="H32" s="42">
        <f>MEDIAN(H2:H31)</f>
        <v>5</v>
      </c>
      <c r="I32" s="42"/>
      <c r="J32" s="42"/>
      <c r="K32" s="42" t="s">
        <v>78</v>
      </c>
      <c r="L32" s="42"/>
      <c r="M32" s="42">
        <f>MEDIAN(M2:M31)</f>
        <v>5</v>
      </c>
    </row>
    <row r="34" spans="1:8" x14ac:dyDescent="0.2">
      <c r="A34" s="7">
        <v>2</v>
      </c>
      <c r="B34" s="7" t="s">
        <v>79</v>
      </c>
      <c r="C34" s="7">
        <f>IF('Form Responses 1'!P2="ดีเยี่ยม",5,
IF('Form Responses 1'!P2="ดี",4,
IF('Form Responses 1'!P2="ปานกลาง",3,
IF('Form Responses 1'!P2="น้อย",2,
IF('Form Responses 1'!P2="ปรับปรุง",1)))))</f>
        <v>4</v>
      </c>
      <c r="F34">
        <v>4</v>
      </c>
      <c r="G34" s="7" t="s">
        <v>79</v>
      </c>
      <c r="H34">
        <f>IF('Form Responses 1'!R2="ดีเยี่ยม",5,
IF('Form Responses 1'!R2="ดี",4,
IF('Form Responses 1'!R2="ปานกลาง",3,
IF('Form Responses 1'!R2="น้อย",2,
IF('Form Responses 1'!R2="ปรับปรุง",1)))))</f>
        <v>4</v>
      </c>
    </row>
    <row r="35" spans="1:8" x14ac:dyDescent="0.2">
      <c r="B35" s="7" t="s">
        <v>80</v>
      </c>
      <c r="C35" s="7">
        <f>IF('Form Responses 1'!P3="ดีเยี่ยม",5,
IF('Form Responses 1'!P3="ดี",4,
IF('Form Responses 1'!P3="ปานกลาง",3,
IF('Form Responses 1'!P3="น้อย",2,
IF('Form Responses 1'!P3="ปรับปรุง",1)))))</f>
        <v>5</v>
      </c>
      <c r="G35" s="7" t="s">
        <v>80</v>
      </c>
      <c r="H35">
        <f>IF('Form Responses 1'!R3="ดีเยี่ยม",5,
IF('Form Responses 1'!R3="ดี",4,
IF('Form Responses 1'!R3="ปานกลาง",3,
IF('Form Responses 1'!R3="น้อย",2,
IF('Form Responses 1'!R3="ปรับปรุง",1)))))</f>
        <v>5</v>
      </c>
    </row>
    <row r="36" spans="1:8" x14ac:dyDescent="0.2">
      <c r="B36" s="7" t="s">
        <v>81</v>
      </c>
      <c r="C36" s="7">
        <f>IF('Form Responses 1'!P4="ดีเยี่ยม",5,
IF('Form Responses 1'!P4="ดี",4,
IF('Form Responses 1'!P4="ปานกลาง",3,
IF('Form Responses 1'!P4="น้อย",2,
IF('Form Responses 1'!P4="ปรับปรุง",1)))))</f>
        <v>4</v>
      </c>
      <c r="G36" s="7" t="s">
        <v>81</v>
      </c>
      <c r="H36">
        <f>IF('Form Responses 1'!R4="ดีเยี่ยม",5,
IF('Form Responses 1'!R4="ดี",4,
IF('Form Responses 1'!R4="ปานกลาง",3,
IF('Form Responses 1'!R4="น้อย",2,
IF('Form Responses 1'!R4="ปรับปรุง",1)))))</f>
        <v>5</v>
      </c>
    </row>
    <row r="37" spans="1:8" x14ac:dyDescent="0.2">
      <c r="B37" s="7" t="s">
        <v>82</v>
      </c>
      <c r="C37" s="7">
        <f>IF('Form Responses 1'!P5="ดีเยี่ยม",5,
IF('Form Responses 1'!P5="ดี",4,
IF('Form Responses 1'!P5="ปานกลาง",3,
IF('Form Responses 1'!P5="น้อย",2,
IF('Form Responses 1'!P5="ปรับปรุง",1)))))</f>
        <v>4</v>
      </c>
      <c r="G37" s="7" t="s">
        <v>82</v>
      </c>
      <c r="H37">
        <f>IF('Form Responses 1'!R5="ดีเยี่ยม",5,
IF('Form Responses 1'!R5="ดี",4,
IF('Form Responses 1'!R5="ปานกลาง",3,
IF('Form Responses 1'!R5="น้อย",2,
IF('Form Responses 1'!R5="ปรับปรุง",1)))))</f>
        <v>4</v>
      </c>
    </row>
    <row r="38" spans="1:8" x14ac:dyDescent="0.2">
      <c r="B38" s="7" t="s">
        <v>83</v>
      </c>
      <c r="C38" s="7">
        <f>IF('Form Responses 1'!P6="ดีเยี่ยม",5,
IF('Form Responses 1'!P6="ดี",4,
IF('Form Responses 1'!P6="ปานกลาง",3,
IF('Form Responses 1'!P6="น้อย",2,
IF('Form Responses 1'!P6="ปรับปรุง",1)))))</f>
        <v>5</v>
      </c>
      <c r="G38" s="7" t="s">
        <v>83</v>
      </c>
      <c r="H38">
        <f>IF('Form Responses 1'!R6="ดีเยี่ยม",5,
IF('Form Responses 1'!R6="ดี",4,
IF('Form Responses 1'!R6="ปานกลาง",3,
IF('Form Responses 1'!R6="น้อย",2,
IF('Form Responses 1'!R6="ปรับปรุง",1)))))</f>
        <v>5</v>
      </c>
    </row>
    <row r="39" spans="1:8" x14ac:dyDescent="0.2">
      <c r="B39" s="7" t="s">
        <v>84</v>
      </c>
      <c r="C39" s="7">
        <f>IF('Form Responses 1'!P7="ดีเยี่ยม",5,
IF('Form Responses 1'!P7="ดี",4,
IF('Form Responses 1'!P7="ปานกลาง",3,
IF('Form Responses 1'!P7="น้อย",2,
IF('Form Responses 1'!P7="ปรับปรุง",1)))))</f>
        <v>5</v>
      </c>
      <c r="G39" s="7" t="s">
        <v>84</v>
      </c>
      <c r="H39">
        <f>IF('Form Responses 1'!R7="ดีเยี่ยม",5,
IF('Form Responses 1'!R7="ดี",4,
IF('Form Responses 1'!R7="ปานกลาง",3,
IF('Form Responses 1'!R7="น้อย",2,
IF('Form Responses 1'!R7="ปรับปรุง",1)))))</f>
        <v>4</v>
      </c>
    </row>
    <row r="40" spans="1:8" x14ac:dyDescent="0.2">
      <c r="B40" s="7" t="s">
        <v>85</v>
      </c>
      <c r="C40" s="7">
        <f>IF('Form Responses 1'!P8="ดีเยี่ยม",5,
IF('Form Responses 1'!P8="ดี",4,
IF('Form Responses 1'!P8="ปานกลาง",3,
IF('Form Responses 1'!P8="น้อย",2,
IF('Form Responses 1'!P8="ปรับปรุง",1)))))</f>
        <v>5</v>
      </c>
      <c r="G40" s="7" t="s">
        <v>85</v>
      </c>
      <c r="H40">
        <f>IF('Form Responses 1'!R8="ดีเยี่ยม",5,
IF('Form Responses 1'!R8="ดี",4,
IF('Form Responses 1'!R8="ปานกลาง",3,
IF('Form Responses 1'!R8="น้อย",2,
IF('Form Responses 1'!R8="ปรับปรุง",1)))))</f>
        <v>4</v>
      </c>
    </row>
    <row r="41" spans="1:8" x14ac:dyDescent="0.2">
      <c r="B41" s="7" t="s">
        <v>86</v>
      </c>
      <c r="C41" s="7">
        <f>IF('Form Responses 1'!P9="ดีเยี่ยม",5,
IF('Form Responses 1'!P9="ดี",4,
IF('Form Responses 1'!P9="ปานกลาง",3,
IF('Form Responses 1'!P9="น้อย",2,
IF('Form Responses 1'!P9="ปรับปรุง",1)))))</f>
        <v>5</v>
      </c>
      <c r="G41" s="7" t="s">
        <v>86</v>
      </c>
      <c r="H41">
        <f>IF('Form Responses 1'!R9="ดีเยี่ยม",5,
IF('Form Responses 1'!R9="ดี",4,
IF('Form Responses 1'!R9="ปานกลาง",3,
IF('Form Responses 1'!R9="น้อย",2,
IF('Form Responses 1'!R9="ปรับปรุง",1)))))</f>
        <v>4</v>
      </c>
    </row>
    <row r="42" spans="1:8" x14ac:dyDescent="0.2">
      <c r="B42" s="7" t="s">
        <v>87</v>
      </c>
      <c r="C42" s="7">
        <f>IF('Form Responses 1'!P10="ดีเยี่ยม",5,
IF('Form Responses 1'!P10="ดี",4,
IF('Form Responses 1'!P10="ปานกลาง",3,
IF('Form Responses 1'!P10="น้อย",2,
IF('Form Responses 1'!P10="ปรับปรุง",1)))))</f>
        <v>5</v>
      </c>
      <c r="G42" s="7" t="s">
        <v>87</v>
      </c>
      <c r="H42">
        <f>IF('Form Responses 1'!R10="ดีเยี่ยม",5,
IF('Form Responses 1'!R10="ดี",4,
IF('Form Responses 1'!R10="ปานกลาง",3,
IF('Form Responses 1'!R10="น้อย",2,
IF('Form Responses 1'!R10="ปรับปรุง",1)))))</f>
        <v>5</v>
      </c>
    </row>
    <row r="43" spans="1:8" x14ac:dyDescent="0.2">
      <c r="B43" s="7" t="s">
        <v>88</v>
      </c>
      <c r="C43" s="7">
        <f>IF('Form Responses 1'!P11="ดีเยี่ยม",5,
IF('Form Responses 1'!P11="ดี",4,
IF('Form Responses 1'!P11="ปานกลาง",3,
IF('Form Responses 1'!P11="น้อย",2,
IF('Form Responses 1'!P11="ปรับปรุง",1)))))</f>
        <v>5</v>
      </c>
      <c r="G43" s="7" t="s">
        <v>88</v>
      </c>
      <c r="H43">
        <f>IF('Form Responses 1'!R11="ดีเยี่ยม",5,
IF('Form Responses 1'!R11="ดี",4,
IF('Form Responses 1'!R11="ปานกลาง",3,
IF('Form Responses 1'!R11="น้อย",2,
IF('Form Responses 1'!R11="ปรับปรุง",1)))))</f>
        <v>5</v>
      </c>
    </row>
    <row r="44" spans="1:8" x14ac:dyDescent="0.2">
      <c r="B44" s="7" t="s">
        <v>89</v>
      </c>
      <c r="C44" s="7">
        <f>IF('Form Responses 1'!P12="ดีเยี่ยม",5,
IF('Form Responses 1'!P12="ดี",4,
IF('Form Responses 1'!P12="ปานกลาง",3,
IF('Form Responses 1'!P12="น้อย",2,
IF('Form Responses 1'!P12="ปรับปรุง",1)))))</f>
        <v>5</v>
      </c>
      <c r="G44" s="7" t="s">
        <v>89</v>
      </c>
      <c r="H44">
        <f>IF('Form Responses 1'!R12="ดีเยี่ยม",5,
IF('Form Responses 1'!R12="ดี",4,
IF('Form Responses 1'!R12="ปานกลาง",3,
IF('Form Responses 1'!R12="น้อย",2,
IF('Form Responses 1'!R12="ปรับปรุง",1)))))</f>
        <v>5</v>
      </c>
    </row>
    <row r="45" spans="1:8" x14ac:dyDescent="0.2">
      <c r="B45" s="7" t="s">
        <v>90</v>
      </c>
      <c r="C45" s="7">
        <f>IF('Form Responses 1'!P13="ดีเยี่ยม",5,
IF('Form Responses 1'!P13="ดี",4,
IF('Form Responses 1'!P13="ปานกลาง",3,
IF('Form Responses 1'!P13="น้อย",2,
IF('Form Responses 1'!P13="ปรับปรุง",1)))))</f>
        <v>5</v>
      </c>
      <c r="G45" s="7" t="s">
        <v>90</v>
      </c>
      <c r="H45">
        <f>IF('Form Responses 1'!R13="ดีเยี่ยม",5,
IF('Form Responses 1'!R13="ดี",4,
IF('Form Responses 1'!R13="ปานกลาง",3,
IF('Form Responses 1'!R13="น้อย",2,
IF('Form Responses 1'!R13="ปรับปรุง",1)))))</f>
        <v>4</v>
      </c>
    </row>
    <row r="46" spans="1:8" x14ac:dyDescent="0.2">
      <c r="B46" s="7" t="s">
        <v>91</v>
      </c>
      <c r="C46" s="7">
        <f>IF('Form Responses 1'!P14="ดีเยี่ยม",5,
IF('Form Responses 1'!P14="ดี",4,
IF('Form Responses 1'!P14="ปานกลาง",3,
IF('Form Responses 1'!P14="น้อย",2,
IF('Form Responses 1'!P14="ปรับปรุง",1)))))</f>
        <v>4</v>
      </c>
      <c r="G46" s="7" t="s">
        <v>91</v>
      </c>
      <c r="H46">
        <f>IF('Form Responses 1'!R14="ดีเยี่ยม",5,
IF('Form Responses 1'!R14="ดี",4,
IF('Form Responses 1'!R14="ปานกลาง",3,
IF('Form Responses 1'!R14="น้อย",2,
IF('Form Responses 1'!R14="ปรับปรุง",1)))))</f>
        <v>4</v>
      </c>
    </row>
    <row r="47" spans="1:8" x14ac:dyDescent="0.2">
      <c r="B47" s="7" t="s">
        <v>92</v>
      </c>
      <c r="C47" s="7">
        <f>IF('Form Responses 1'!P15="ดีเยี่ยม",5,
IF('Form Responses 1'!P15="ดี",4,
IF('Form Responses 1'!P15="ปานกลาง",3,
IF('Form Responses 1'!P15="น้อย",2,
IF('Form Responses 1'!P15="ปรับปรุง",1)))))</f>
        <v>5</v>
      </c>
      <c r="G47" s="7" t="s">
        <v>92</v>
      </c>
      <c r="H47">
        <f>IF('Form Responses 1'!R15="ดีเยี่ยม",5,
IF('Form Responses 1'!R15="ดี",4,
IF('Form Responses 1'!R15="ปานกลาง",3,
IF('Form Responses 1'!R15="น้อย",2,
IF('Form Responses 1'!R15="ปรับปรุง",1)))))</f>
        <v>4</v>
      </c>
    </row>
    <row r="48" spans="1:8" x14ac:dyDescent="0.2">
      <c r="B48" s="7" t="s">
        <v>93</v>
      </c>
      <c r="C48" s="7">
        <f>IF('Form Responses 1'!P16="ดีเยี่ยม",5,
IF('Form Responses 1'!P16="ดี",4,
IF('Form Responses 1'!P16="ปานกลาง",3,
IF('Form Responses 1'!P16="น้อย",2,
IF('Form Responses 1'!P16="ปรับปรุง",1)))))</f>
        <v>5</v>
      </c>
      <c r="G48" s="7" t="s">
        <v>93</v>
      </c>
      <c r="H48">
        <f>IF('Form Responses 1'!R16="ดีเยี่ยม",5,
IF('Form Responses 1'!R16="ดี",4,
IF('Form Responses 1'!R16="ปานกลาง",3,
IF('Form Responses 1'!R16="น้อย",2,
IF('Form Responses 1'!R16="ปรับปรุง",1)))))</f>
        <v>5</v>
      </c>
    </row>
    <row r="49" spans="1:8" x14ac:dyDescent="0.2">
      <c r="B49" s="7" t="s">
        <v>94</v>
      </c>
      <c r="C49" s="7">
        <f>IF('Form Responses 1'!P17="ดีเยี่ยม",5,
IF('Form Responses 1'!P17="ดี",4,
IF('Form Responses 1'!P17="ปานกลาง",3,
IF('Form Responses 1'!P17="น้อย",2,
IF('Form Responses 1'!P17="ปรับปรุง",1)))))</f>
        <v>5</v>
      </c>
      <c r="G49" s="7" t="s">
        <v>94</v>
      </c>
      <c r="H49">
        <f>IF('Form Responses 1'!R17="ดีเยี่ยม",5,
IF('Form Responses 1'!R17="ดี",4,
IF('Form Responses 1'!R17="ปานกลาง",3,
IF('Form Responses 1'!R17="น้อย",2,
IF('Form Responses 1'!R17="ปรับปรุง",1)))))</f>
        <v>5</v>
      </c>
    </row>
    <row r="50" spans="1:8" x14ac:dyDescent="0.2">
      <c r="B50" s="7" t="s">
        <v>95</v>
      </c>
      <c r="C50" s="7">
        <f>IF('Form Responses 1'!P18="ดีเยี่ยม",5,
IF('Form Responses 1'!P18="ดี",4,
IF('Form Responses 1'!P18="ปานกลาง",3,
IF('Form Responses 1'!P18="น้อย",2,
IF('Form Responses 1'!P18="ปรับปรุง",1)))))</f>
        <v>5</v>
      </c>
      <c r="G50" s="7" t="s">
        <v>95</v>
      </c>
      <c r="H50">
        <f>IF('Form Responses 1'!R18="ดีเยี่ยม",5,
IF('Form Responses 1'!R18="ดี",4,
IF('Form Responses 1'!R18="ปานกลาง",3,
IF('Form Responses 1'!R18="น้อย",2,
IF('Form Responses 1'!R18="ปรับปรุง",1)))))</f>
        <v>5</v>
      </c>
    </row>
    <row r="51" spans="1:8" x14ac:dyDescent="0.2">
      <c r="B51" s="7" t="s">
        <v>96</v>
      </c>
      <c r="C51" s="7">
        <f>IF('Form Responses 1'!P19="ดีเยี่ยม",5,
IF('Form Responses 1'!P19="ดี",4,
IF('Form Responses 1'!P19="ปานกลาง",3,
IF('Form Responses 1'!P19="น้อย",2,
IF('Form Responses 1'!P19="ปรับปรุง",1)))))</f>
        <v>5</v>
      </c>
      <c r="G51" s="7" t="s">
        <v>96</v>
      </c>
      <c r="H51">
        <f>IF('Form Responses 1'!R19="ดีเยี่ยม",5,
IF('Form Responses 1'!R19="ดี",4,
IF('Form Responses 1'!R19="ปานกลาง",3,
IF('Form Responses 1'!R19="น้อย",2,
IF('Form Responses 1'!R19="ปรับปรุง",1)))))</f>
        <v>5</v>
      </c>
    </row>
    <row r="52" spans="1:8" x14ac:dyDescent="0.2">
      <c r="B52" s="7" t="s">
        <v>97</v>
      </c>
      <c r="C52" s="7">
        <f>IF('Form Responses 1'!P20="ดีเยี่ยม",5,
IF('Form Responses 1'!P20="ดี",4,
IF('Form Responses 1'!P20="ปานกลาง",3,
IF('Form Responses 1'!P20="น้อย",2,
IF('Form Responses 1'!P20="ปรับปรุง",1)))))</f>
        <v>4</v>
      </c>
      <c r="G52" s="7" t="s">
        <v>97</v>
      </c>
      <c r="H52">
        <f>IF('Form Responses 1'!R20="ดีเยี่ยม",5,
IF('Form Responses 1'!R20="ดี",4,
IF('Form Responses 1'!R20="ปานกลาง",3,
IF('Form Responses 1'!R20="น้อย",2,
IF('Form Responses 1'!R20="ปรับปรุง",1)))))</f>
        <v>4</v>
      </c>
    </row>
    <row r="53" spans="1:8" x14ac:dyDescent="0.2">
      <c r="B53" s="7" t="s">
        <v>98</v>
      </c>
      <c r="C53" s="7">
        <f>IF('Form Responses 1'!P21="ดีเยี่ยม",5,
IF('Form Responses 1'!P21="ดี",4,
IF('Form Responses 1'!P21="ปานกลาง",3,
IF('Form Responses 1'!P21="น้อย",2,
IF('Form Responses 1'!P21="ปรับปรุง",1)))))</f>
        <v>5</v>
      </c>
      <c r="G53" s="7" t="s">
        <v>98</v>
      </c>
      <c r="H53">
        <f>IF('Form Responses 1'!R21="ดีเยี่ยม",5,
IF('Form Responses 1'!R21="ดี",4,
IF('Form Responses 1'!R21="ปานกลาง",3,
IF('Form Responses 1'!R21="น้อย",2,
IF('Form Responses 1'!R21="ปรับปรุง",1)))))</f>
        <v>5</v>
      </c>
    </row>
    <row r="54" spans="1:8" x14ac:dyDescent="0.2">
      <c r="B54" s="7" t="s">
        <v>99</v>
      </c>
      <c r="C54" s="7">
        <f>IF('Form Responses 1'!P22="ดีเยี่ยม",5,
IF('Form Responses 1'!P22="ดี",4,
IF('Form Responses 1'!P22="ปานกลาง",3,
IF('Form Responses 1'!P22="น้อย",2,
IF('Form Responses 1'!P22="ปรับปรุง",1)))))</f>
        <v>3</v>
      </c>
      <c r="G54" s="7" t="s">
        <v>99</v>
      </c>
      <c r="H54">
        <f>IF('Form Responses 1'!R22="ดีเยี่ยม",5,
IF('Form Responses 1'!R22="ดี",4,
IF('Form Responses 1'!R22="ปานกลาง",3,
IF('Form Responses 1'!R22="น้อย",2,
IF('Form Responses 1'!R22="ปรับปรุง",1)))))</f>
        <v>4</v>
      </c>
    </row>
    <row r="55" spans="1:8" x14ac:dyDescent="0.2">
      <c r="B55" s="7" t="s">
        <v>100</v>
      </c>
      <c r="C55" s="7">
        <f>IF('Form Responses 1'!P23="ดีเยี่ยม",5,
IF('Form Responses 1'!P23="ดี",4,
IF('Form Responses 1'!P23="ปานกลาง",3,
IF('Form Responses 1'!P23="น้อย",2,
IF('Form Responses 1'!P23="ปรับปรุง",1)))))</f>
        <v>4</v>
      </c>
      <c r="G55" s="7" t="s">
        <v>100</v>
      </c>
      <c r="H55">
        <f>IF('Form Responses 1'!R23="ดีเยี่ยม",5,
IF('Form Responses 1'!R23="ดี",4,
IF('Form Responses 1'!R23="ปานกลาง",3,
IF('Form Responses 1'!R23="น้อย",2,
IF('Form Responses 1'!R23="ปรับปรุง",1)))))</f>
        <v>5</v>
      </c>
    </row>
    <row r="56" spans="1:8" x14ac:dyDescent="0.2">
      <c r="B56" s="7" t="s">
        <v>101</v>
      </c>
      <c r="C56" s="7">
        <f>IF('Form Responses 1'!P24="ดีเยี่ยม",5,
IF('Form Responses 1'!P24="ดี",4,
IF('Form Responses 1'!P24="ปานกลาง",3,
IF('Form Responses 1'!P24="น้อย",2,
IF('Form Responses 1'!P24="ปรับปรุง",1)))))</f>
        <v>3</v>
      </c>
      <c r="G56" s="7" t="s">
        <v>101</v>
      </c>
      <c r="H56">
        <f>IF('Form Responses 1'!R24="ดีเยี่ยม",5,
IF('Form Responses 1'!R24="ดี",4,
IF('Form Responses 1'!R24="ปานกลาง",3,
IF('Form Responses 1'!R24="น้อย",2,
IF('Form Responses 1'!R24="ปรับปรุง",1)))))</f>
        <v>5</v>
      </c>
    </row>
    <row r="57" spans="1:8" x14ac:dyDescent="0.2">
      <c r="B57" s="7" t="s">
        <v>102</v>
      </c>
      <c r="C57" s="7">
        <f>IF('Form Responses 1'!P25="ดีเยี่ยม",5,
IF('Form Responses 1'!P25="ดี",4,
IF('Form Responses 1'!P25="ปานกลาง",3,
IF('Form Responses 1'!P25="น้อย",2,
IF('Form Responses 1'!P25="ปรับปรุง",1)))))</f>
        <v>5</v>
      </c>
      <c r="G57" s="7" t="s">
        <v>102</v>
      </c>
      <c r="H57">
        <f>IF('Form Responses 1'!R25="ดีเยี่ยม",5,
IF('Form Responses 1'!R25="ดี",4,
IF('Form Responses 1'!R25="ปานกลาง",3,
IF('Form Responses 1'!R25="น้อย",2,
IF('Form Responses 1'!R25="ปรับปรุง",1)))))</f>
        <v>5</v>
      </c>
    </row>
    <row r="58" spans="1:8" x14ac:dyDescent="0.2">
      <c r="B58" s="7" t="s">
        <v>103</v>
      </c>
      <c r="C58" s="7">
        <f>IF('Form Responses 1'!P26="ดีเยี่ยม",5,
IF('Form Responses 1'!P26="ดี",4,
IF('Form Responses 1'!P26="ปานกลาง",3,
IF('Form Responses 1'!P26="น้อย",2,
IF('Form Responses 1'!P26="ปรับปรุง",1)))))</f>
        <v>5</v>
      </c>
      <c r="G58" s="7" t="s">
        <v>103</v>
      </c>
      <c r="H58">
        <f>IF('Form Responses 1'!R26="ดีเยี่ยม",5,
IF('Form Responses 1'!R26="ดี",4,
IF('Form Responses 1'!R26="ปานกลาง",3,
IF('Form Responses 1'!R26="น้อย",2,
IF('Form Responses 1'!R26="ปรับปรุง",1)))))</f>
        <v>5</v>
      </c>
    </row>
    <row r="59" spans="1:8" x14ac:dyDescent="0.2">
      <c r="B59" s="7"/>
      <c r="C59" s="7"/>
      <c r="G59" s="7"/>
    </row>
    <row r="60" spans="1:8" x14ac:dyDescent="0.2">
      <c r="B60" s="7"/>
      <c r="C60" s="7"/>
      <c r="G60" s="7"/>
    </row>
    <row r="61" spans="1:8" x14ac:dyDescent="0.2">
      <c r="B61" s="7"/>
      <c r="C61" s="7"/>
      <c r="G61" s="7"/>
    </row>
    <row r="62" spans="1:8" x14ac:dyDescent="0.2">
      <c r="B62" s="7"/>
      <c r="C62" s="7"/>
      <c r="G62" s="7"/>
    </row>
    <row r="63" spans="1:8" x14ac:dyDescent="0.2">
      <c r="B63" s="7"/>
      <c r="C63" s="7"/>
      <c r="G63" s="7"/>
    </row>
    <row r="64" spans="1:8" x14ac:dyDescent="0.2">
      <c r="A64" s="42" t="s">
        <v>78</v>
      </c>
      <c r="B64" s="42"/>
      <c r="C64" s="42">
        <f>MEDIAN(C34:C63)</f>
        <v>5</v>
      </c>
      <c r="D64" s="42"/>
      <c r="E64" s="42"/>
      <c r="F64" s="42" t="s">
        <v>78</v>
      </c>
      <c r="G64" s="42"/>
      <c r="H64" s="42">
        <f>MEDIAN(H34:H63)</f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1F68-348A-4DB5-B7B9-A36ABABD8C5E}">
  <dimension ref="A1:M64"/>
  <sheetViews>
    <sheetView topLeftCell="A28" workbookViewId="0">
      <selection activeCell="C64" sqref="C64"/>
    </sheetView>
  </sheetViews>
  <sheetFormatPr defaultRowHeight="12.75" x14ac:dyDescent="0.2"/>
  <sheetData>
    <row r="1" spans="1:13" x14ac:dyDescent="0.2">
      <c r="A1" s="7" t="s">
        <v>75</v>
      </c>
      <c r="B1" s="7" t="s">
        <v>76</v>
      </c>
      <c r="C1" s="7" t="s">
        <v>77</v>
      </c>
      <c r="D1" s="7"/>
      <c r="F1" s="7" t="s">
        <v>75</v>
      </c>
      <c r="G1" s="7" t="s">
        <v>76</v>
      </c>
      <c r="H1" s="7" t="s">
        <v>77</v>
      </c>
      <c r="K1" s="7" t="s">
        <v>75</v>
      </c>
      <c r="L1" s="7" t="s">
        <v>76</v>
      </c>
      <c r="M1" s="7" t="s">
        <v>77</v>
      </c>
    </row>
    <row r="2" spans="1:13" x14ac:dyDescent="0.2">
      <c r="A2" s="6">
        <v>1</v>
      </c>
      <c r="B2" s="7" t="s">
        <v>79</v>
      </c>
      <c r="C2" s="7">
        <f>IF('Form Responses 1'!T2="ดีเยี่ยม",5,
IF('Form Responses 1'!T2="ดี",4,
IF('Form Responses 1'!T2="ปานกลาง",3,
IF('Form Responses 1'!T2="น้อย",2,
IF('Form Responses 1'!T2="ปรับปรุง",1)))))</f>
        <v>4</v>
      </c>
      <c r="F2">
        <v>3</v>
      </c>
      <c r="G2" s="7" t="s">
        <v>79</v>
      </c>
      <c r="H2">
        <f>IF('Form Responses 1'!V2="ดีเยี่ยม",5,
IF('Form Responses 1'!V2="ดี",4,
IF('Form Responses 1'!V2="ปานกลาง",3,
IF('Form Responses 1'!V2="น้อย",2,
IF('Form Responses 1'!V2="ปรับปรุง",1)))))</f>
        <v>4</v>
      </c>
      <c r="K2">
        <v>5</v>
      </c>
      <c r="L2" s="7" t="s">
        <v>79</v>
      </c>
      <c r="M2">
        <f>IF('Form Responses 1'!X2="ดีเยี่ยม",5,
IF('Form Responses 1'!X2="ดี",4,
IF('Form Responses 1'!X2="ปานกลาง",3,
IF('Form Responses 1'!X2="น้อย",2,
IF('Form Responses 1'!X2="ปรับปรุง",1)))))</f>
        <v>4</v>
      </c>
    </row>
    <row r="3" spans="1:13" x14ac:dyDescent="0.2">
      <c r="B3" s="7" t="s">
        <v>80</v>
      </c>
      <c r="C3" s="7">
        <f>IF('Form Responses 1'!T3="ดีเยี่ยม",5,
IF('Form Responses 1'!T3="ดี",4,
IF('Form Responses 1'!T3="ปานกลาง",3,
IF('Form Responses 1'!T3="น้อย",2,
IF('Form Responses 1'!T3="ปรับปรุง",1)))))</f>
        <v>4</v>
      </c>
      <c r="G3" s="7" t="s">
        <v>80</v>
      </c>
      <c r="H3">
        <f>IF('Form Responses 1'!V3="ดีเยี่ยม",5,
IF('Form Responses 1'!V3="ดี",4,
IF('Form Responses 1'!V3="ปานกลาง",3,
IF('Form Responses 1'!V3="น้อย",2,
IF('Form Responses 1'!V3="ปรับปรุง",1)))))</f>
        <v>5</v>
      </c>
      <c r="L3" s="7" t="s">
        <v>80</v>
      </c>
      <c r="M3">
        <f>IF('Form Responses 1'!X3="ดีเยี่ยม",5,
IF('Form Responses 1'!X3="ดี",4,
IF('Form Responses 1'!X3="ปานกลาง",3,
IF('Form Responses 1'!X3="น้อย",2,
IF('Form Responses 1'!X3="ปรับปรุง",1)))))</f>
        <v>4</v>
      </c>
    </row>
    <row r="4" spans="1:13" x14ac:dyDescent="0.2">
      <c r="B4" s="7" t="s">
        <v>81</v>
      </c>
      <c r="C4" s="7">
        <f>IF('Form Responses 1'!T4="ดีเยี่ยม",5,
IF('Form Responses 1'!T4="ดี",4,
IF('Form Responses 1'!T4="ปานกลาง",3,
IF('Form Responses 1'!T4="น้อย",2,
IF('Form Responses 1'!T4="ปรับปรุง",1)))))</f>
        <v>4</v>
      </c>
      <c r="G4" s="7" t="s">
        <v>81</v>
      </c>
      <c r="H4">
        <f>IF('Form Responses 1'!V4="ดีเยี่ยม",5,
IF('Form Responses 1'!V4="ดี",4,
IF('Form Responses 1'!V4="ปานกลาง",3,
IF('Form Responses 1'!V4="น้อย",2,
IF('Form Responses 1'!V4="ปรับปรุง",1)))))</f>
        <v>5</v>
      </c>
      <c r="L4" s="7" t="s">
        <v>81</v>
      </c>
      <c r="M4">
        <f>IF('Form Responses 1'!X4="ดีเยี่ยม",5,
IF('Form Responses 1'!X4="ดี",4,
IF('Form Responses 1'!X4="ปานกลาง",3,
IF('Form Responses 1'!X4="น้อย",2,
IF('Form Responses 1'!X4="ปรับปรุง",1)))))</f>
        <v>5</v>
      </c>
    </row>
    <row r="5" spans="1:13" x14ac:dyDescent="0.2">
      <c r="B5" s="7" t="s">
        <v>82</v>
      </c>
      <c r="C5" s="7">
        <f>IF('Form Responses 1'!T5="ดีเยี่ยม",5,
IF('Form Responses 1'!T5="ดี",4,
IF('Form Responses 1'!T5="ปานกลาง",3,
IF('Form Responses 1'!T5="น้อย",2,
IF('Form Responses 1'!T5="ปรับปรุง",1)))))</f>
        <v>5</v>
      </c>
      <c r="G5" s="7" t="s">
        <v>82</v>
      </c>
      <c r="H5">
        <f>IF('Form Responses 1'!V5="ดีเยี่ยม",5,
IF('Form Responses 1'!V5="ดี",4,
IF('Form Responses 1'!V5="ปานกลาง",3,
IF('Form Responses 1'!V5="น้อย",2,
IF('Form Responses 1'!V5="ปรับปรุง",1)))))</f>
        <v>5</v>
      </c>
      <c r="L5" s="7" t="s">
        <v>82</v>
      </c>
      <c r="M5">
        <f>IF('Form Responses 1'!X5="ดีเยี่ยม",5,
IF('Form Responses 1'!X5="ดี",4,
IF('Form Responses 1'!X5="ปานกลาง",3,
IF('Form Responses 1'!X5="น้อย",2,
IF('Form Responses 1'!X5="ปรับปรุง",1)))))</f>
        <v>5</v>
      </c>
    </row>
    <row r="6" spans="1:13" x14ac:dyDescent="0.2">
      <c r="B6" s="7" t="s">
        <v>83</v>
      </c>
      <c r="C6" s="7">
        <f>IF('Form Responses 1'!T6="ดีเยี่ยม",5,
IF('Form Responses 1'!T6="ดี",4,
IF('Form Responses 1'!T6="ปานกลาง",3,
IF('Form Responses 1'!T6="น้อย",2,
IF('Form Responses 1'!T6="ปรับปรุง",1)))))</f>
        <v>5</v>
      </c>
      <c r="G6" s="7" t="s">
        <v>83</v>
      </c>
      <c r="H6">
        <f>IF('Form Responses 1'!V6="ดีเยี่ยม",5,
IF('Form Responses 1'!V6="ดี",4,
IF('Form Responses 1'!V6="ปานกลาง",3,
IF('Form Responses 1'!V6="น้อย",2,
IF('Form Responses 1'!V6="ปรับปรุง",1)))))</f>
        <v>5</v>
      </c>
      <c r="L6" s="7" t="s">
        <v>83</v>
      </c>
      <c r="M6">
        <f>IF('Form Responses 1'!X6="ดีเยี่ยม",5,
IF('Form Responses 1'!X6="ดี",4,
IF('Form Responses 1'!X6="ปานกลาง",3,
IF('Form Responses 1'!X6="น้อย",2,
IF('Form Responses 1'!X6="ปรับปรุง",1)))))</f>
        <v>5</v>
      </c>
    </row>
    <row r="7" spans="1:13" x14ac:dyDescent="0.2">
      <c r="B7" s="7" t="s">
        <v>84</v>
      </c>
      <c r="C7" s="7">
        <f>IF('Form Responses 1'!T7="ดีเยี่ยม",5,
IF('Form Responses 1'!T7="ดี",4,
IF('Form Responses 1'!T7="ปานกลาง",3,
IF('Form Responses 1'!T7="น้อย",2,
IF('Form Responses 1'!T7="ปรับปรุง",1)))))</f>
        <v>4</v>
      </c>
      <c r="G7" s="7" t="s">
        <v>84</v>
      </c>
      <c r="H7">
        <f>IF('Form Responses 1'!V7="ดีเยี่ยม",5,
IF('Form Responses 1'!V7="ดี",4,
IF('Form Responses 1'!V7="ปานกลาง",3,
IF('Form Responses 1'!V7="น้อย",2,
IF('Form Responses 1'!V7="ปรับปรุง",1)))))</f>
        <v>5</v>
      </c>
      <c r="L7" s="7" t="s">
        <v>84</v>
      </c>
      <c r="M7">
        <f>IF('Form Responses 1'!X7="ดีเยี่ยม",5,
IF('Form Responses 1'!X7="ดี",4,
IF('Form Responses 1'!X7="ปานกลาง",3,
IF('Form Responses 1'!X7="น้อย",2,
IF('Form Responses 1'!X7="ปรับปรุง",1)))))</f>
        <v>5</v>
      </c>
    </row>
    <row r="8" spans="1:13" x14ac:dyDescent="0.2">
      <c r="B8" s="7" t="s">
        <v>85</v>
      </c>
      <c r="C8" s="7">
        <f>IF('Form Responses 1'!T8="ดีเยี่ยม",5,
IF('Form Responses 1'!T8="ดี",4,
IF('Form Responses 1'!T8="ปานกลาง",3,
IF('Form Responses 1'!T8="น้อย",2,
IF('Form Responses 1'!T8="ปรับปรุง",1)))))</f>
        <v>5</v>
      </c>
      <c r="G8" s="7" t="s">
        <v>85</v>
      </c>
      <c r="H8">
        <f>IF('Form Responses 1'!V8="ดีเยี่ยม",5,
IF('Form Responses 1'!V8="ดี",4,
IF('Form Responses 1'!V8="ปานกลาง",3,
IF('Form Responses 1'!V8="น้อย",2,
IF('Form Responses 1'!V8="ปรับปรุง",1)))))</f>
        <v>5</v>
      </c>
      <c r="L8" s="7" t="s">
        <v>85</v>
      </c>
      <c r="M8">
        <f>IF('Form Responses 1'!X8="ดีเยี่ยม",5,
IF('Form Responses 1'!X8="ดี",4,
IF('Form Responses 1'!X8="ปานกลาง",3,
IF('Form Responses 1'!X8="น้อย",2,
IF('Form Responses 1'!X8="ปรับปรุง",1)))))</f>
        <v>5</v>
      </c>
    </row>
    <row r="9" spans="1:13" x14ac:dyDescent="0.2">
      <c r="B9" s="7" t="s">
        <v>86</v>
      </c>
      <c r="C9" s="7">
        <f>IF('Form Responses 1'!T9="ดีเยี่ยม",5,
IF('Form Responses 1'!T9="ดี",4,
IF('Form Responses 1'!T9="ปานกลาง",3,
IF('Form Responses 1'!T9="น้อย",2,
IF('Form Responses 1'!T9="ปรับปรุง",1)))))</f>
        <v>5</v>
      </c>
      <c r="G9" s="7" t="s">
        <v>86</v>
      </c>
      <c r="H9">
        <f>IF('Form Responses 1'!V9="ดีเยี่ยม",5,
IF('Form Responses 1'!V9="ดี",4,
IF('Form Responses 1'!V9="ปานกลาง",3,
IF('Form Responses 1'!V9="น้อย",2,
IF('Form Responses 1'!V9="ปรับปรุง",1)))))</f>
        <v>5</v>
      </c>
      <c r="L9" s="7" t="s">
        <v>86</v>
      </c>
      <c r="M9">
        <f>IF('Form Responses 1'!X9="ดีเยี่ยม",5,
IF('Form Responses 1'!X9="ดี",4,
IF('Form Responses 1'!X9="ปานกลาง",3,
IF('Form Responses 1'!X9="น้อย",2,
IF('Form Responses 1'!X9="ปรับปรุง",1)))))</f>
        <v>5</v>
      </c>
    </row>
    <row r="10" spans="1:13" x14ac:dyDescent="0.2">
      <c r="B10" s="7" t="s">
        <v>87</v>
      </c>
      <c r="C10" s="7">
        <f>IF('Form Responses 1'!T10="ดีเยี่ยม",5,
IF('Form Responses 1'!T10="ดี",4,
IF('Form Responses 1'!T10="ปานกลาง",3,
IF('Form Responses 1'!T10="น้อย",2,
IF('Form Responses 1'!T10="ปรับปรุง",1)))))</f>
        <v>4</v>
      </c>
      <c r="G10" s="7" t="s">
        <v>87</v>
      </c>
      <c r="H10">
        <f>IF('Form Responses 1'!V10="ดีเยี่ยม",5,
IF('Form Responses 1'!V10="ดี",4,
IF('Form Responses 1'!V10="ปานกลาง",3,
IF('Form Responses 1'!V10="น้อย",2,
IF('Form Responses 1'!V10="ปรับปรุง",1)))))</f>
        <v>5</v>
      </c>
      <c r="L10" s="7" t="s">
        <v>87</v>
      </c>
      <c r="M10">
        <f>IF('Form Responses 1'!X10="ดีเยี่ยม",5,
IF('Form Responses 1'!X10="ดี",4,
IF('Form Responses 1'!X10="ปานกลาง",3,
IF('Form Responses 1'!X10="น้อย",2,
IF('Form Responses 1'!X10="ปรับปรุง",1)))))</f>
        <v>4</v>
      </c>
    </row>
    <row r="11" spans="1:13" x14ac:dyDescent="0.2">
      <c r="B11" s="7" t="s">
        <v>88</v>
      </c>
      <c r="C11" s="7">
        <f>IF('Form Responses 1'!T11="ดีเยี่ยม",5,
IF('Form Responses 1'!T11="ดี",4,
IF('Form Responses 1'!T11="ปานกลาง",3,
IF('Form Responses 1'!T11="น้อย",2,
IF('Form Responses 1'!T11="ปรับปรุง",1)))))</f>
        <v>5</v>
      </c>
      <c r="G11" s="7" t="s">
        <v>88</v>
      </c>
      <c r="H11">
        <f>IF('Form Responses 1'!V11="ดีเยี่ยม",5,
IF('Form Responses 1'!V11="ดี",4,
IF('Form Responses 1'!V11="ปานกลาง",3,
IF('Form Responses 1'!V11="น้อย",2,
IF('Form Responses 1'!V11="ปรับปรุง",1)))))</f>
        <v>5</v>
      </c>
      <c r="L11" s="7" t="s">
        <v>88</v>
      </c>
      <c r="M11">
        <f>IF('Form Responses 1'!X11="ดีเยี่ยม",5,
IF('Form Responses 1'!X11="ดี",4,
IF('Form Responses 1'!X11="ปานกลาง",3,
IF('Form Responses 1'!X11="น้อย",2,
IF('Form Responses 1'!X11="ปรับปรุง",1)))))</f>
        <v>5</v>
      </c>
    </row>
    <row r="12" spans="1:13" x14ac:dyDescent="0.2">
      <c r="B12" s="7" t="s">
        <v>89</v>
      </c>
      <c r="C12" s="7">
        <f>IF('Form Responses 1'!T12="ดีเยี่ยม",5,
IF('Form Responses 1'!T12="ดี",4,
IF('Form Responses 1'!T12="ปานกลาง",3,
IF('Form Responses 1'!T12="น้อย",2,
IF('Form Responses 1'!T12="ปรับปรุง",1)))))</f>
        <v>5</v>
      </c>
      <c r="G12" s="7" t="s">
        <v>89</v>
      </c>
      <c r="H12">
        <f>IF('Form Responses 1'!V12="ดีเยี่ยม",5,
IF('Form Responses 1'!V12="ดี",4,
IF('Form Responses 1'!V12="ปานกลาง",3,
IF('Form Responses 1'!V12="น้อย",2,
IF('Form Responses 1'!V12="ปรับปรุง",1)))))</f>
        <v>5</v>
      </c>
      <c r="L12" s="7" t="s">
        <v>89</v>
      </c>
      <c r="M12">
        <f>IF('Form Responses 1'!X12="ดีเยี่ยม",5,
IF('Form Responses 1'!X12="ดี",4,
IF('Form Responses 1'!X12="ปานกลาง",3,
IF('Form Responses 1'!X12="น้อย",2,
IF('Form Responses 1'!X12="ปรับปรุง",1)))))</f>
        <v>5</v>
      </c>
    </row>
    <row r="13" spans="1:13" x14ac:dyDescent="0.2">
      <c r="B13" s="7" t="s">
        <v>90</v>
      </c>
      <c r="C13" s="7">
        <f>IF('Form Responses 1'!T13="ดีเยี่ยม",5,
IF('Form Responses 1'!T13="ดี",4,
IF('Form Responses 1'!T13="ปานกลาง",3,
IF('Form Responses 1'!T13="น้อย",2,
IF('Form Responses 1'!T13="ปรับปรุง",1)))))</f>
        <v>5</v>
      </c>
      <c r="G13" s="7" t="s">
        <v>90</v>
      </c>
      <c r="H13">
        <f>IF('Form Responses 1'!V13="ดีเยี่ยม",5,
IF('Form Responses 1'!V13="ดี",4,
IF('Form Responses 1'!V13="ปานกลาง",3,
IF('Form Responses 1'!V13="น้อย",2,
IF('Form Responses 1'!V13="ปรับปรุง",1)))))</f>
        <v>5</v>
      </c>
      <c r="L13" s="7" t="s">
        <v>90</v>
      </c>
      <c r="M13">
        <f>IF('Form Responses 1'!X13="ดีเยี่ยม",5,
IF('Form Responses 1'!X13="ดี",4,
IF('Form Responses 1'!X13="ปานกลาง",3,
IF('Form Responses 1'!X13="น้อย",2,
IF('Form Responses 1'!X13="ปรับปรุง",1)))))</f>
        <v>5</v>
      </c>
    </row>
    <row r="14" spans="1:13" x14ac:dyDescent="0.2">
      <c r="B14" s="7" t="s">
        <v>91</v>
      </c>
      <c r="C14" s="7">
        <f>IF('Form Responses 1'!T14="ดีเยี่ยม",5,
IF('Form Responses 1'!T14="ดี",4,
IF('Form Responses 1'!T14="ปานกลาง",3,
IF('Form Responses 1'!T14="น้อย",2,
IF('Form Responses 1'!T14="ปรับปรุง",1)))))</f>
        <v>4</v>
      </c>
      <c r="G14" s="7" t="s">
        <v>91</v>
      </c>
      <c r="H14">
        <f>IF('Form Responses 1'!V14="ดีเยี่ยม",5,
IF('Form Responses 1'!V14="ดี",4,
IF('Form Responses 1'!V14="ปานกลาง",3,
IF('Form Responses 1'!V14="น้อย",2,
IF('Form Responses 1'!V14="ปรับปรุง",1)))))</f>
        <v>4</v>
      </c>
      <c r="L14" s="7" t="s">
        <v>91</v>
      </c>
      <c r="M14">
        <f>IF('Form Responses 1'!X14="ดีเยี่ยม",5,
IF('Form Responses 1'!X14="ดี",4,
IF('Form Responses 1'!X14="ปานกลาง",3,
IF('Form Responses 1'!X14="น้อย",2,
IF('Form Responses 1'!X14="ปรับปรุง",1)))))</f>
        <v>4</v>
      </c>
    </row>
    <row r="15" spans="1:13" x14ac:dyDescent="0.2">
      <c r="B15" s="7" t="s">
        <v>92</v>
      </c>
      <c r="C15" s="7">
        <f>IF('Form Responses 1'!T15="ดีเยี่ยม",5,
IF('Form Responses 1'!T15="ดี",4,
IF('Form Responses 1'!T15="ปานกลาง",3,
IF('Form Responses 1'!T15="น้อย",2,
IF('Form Responses 1'!T15="ปรับปรุง",1)))))</f>
        <v>5</v>
      </c>
      <c r="G15" s="7" t="s">
        <v>92</v>
      </c>
      <c r="H15">
        <f>IF('Form Responses 1'!V15="ดีเยี่ยม",5,
IF('Form Responses 1'!V15="ดี",4,
IF('Form Responses 1'!V15="ปานกลาง",3,
IF('Form Responses 1'!V15="น้อย",2,
IF('Form Responses 1'!V15="ปรับปรุง",1)))))</f>
        <v>4</v>
      </c>
      <c r="L15" s="7" t="s">
        <v>92</v>
      </c>
      <c r="M15">
        <f>IF('Form Responses 1'!X15="ดีเยี่ยม",5,
IF('Form Responses 1'!X15="ดี",4,
IF('Form Responses 1'!X15="ปานกลาง",3,
IF('Form Responses 1'!X15="น้อย",2,
IF('Form Responses 1'!X15="ปรับปรุง",1)))))</f>
        <v>5</v>
      </c>
    </row>
    <row r="16" spans="1:13" x14ac:dyDescent="0.2">
      <c r="B16" s="7" t="s">
        <v>93</v>
      </c>
      <c r="C16" s="7">
        <f>IF('Form Responses 1'!T16="ดีเยี่ยม",5,
IF('Form Responses 1'!T16="ดี",4,
IF('Form Responses 1'!T16="ปานกลาง",3,
IF('Form Responses 1'!T16="น้อย",2,
IF('Form Responses 1'!T16="ปรับปรุง",1)))))</f>
        <v>4</v>
      </c>
      <c r="G16" s="7" t="s">
        <v>93</v>
      </c>
      <c r="H16">
        <f>IF('Form Responses 1'!V16="ดีเยี่ยม",5,
IF('Form Responses 1'!V16="ดี",4,
IF('Form Responses 1'!V16="ปานกลาง",3,
IF('Form Responses 1'!V16="น้อย",2,
IF('Form Responses 1'!V16="ปรับปรุง",1)))))</f>
        <v>5</v>
      </c>
      <c r="L16" s="7" t="s">
        <v>93</v>
      </c>
      <c r="M16">
        <f>IF('Form Responses 1'!X16="ดีเยี่ยม",5,
IF('Form Responses 1'!X16="ดี",4,
IF('Form Responses 1'!X16="ปานกลาง",3,
IF('Form Responses 1'!X16="น้อย",2,
IF('Form Responses 1'!X16="ปรับปรุง",1)))))</f>
        <v>5</v>
      </c>
    </row>
    <row r="17" spans="1:13" x14ac:dyDescent="0.2">
      <c r="B17" s="7" t="s">
        <v>94</v>
      </c>
      <c r="C17" s="7">
        <f>IF('Form Responses 1'!T17="ดีเยี่ยม",5,
IF('Form Responses 1'!T17="ดี",4,
IF('Form Responses 1'!T17="ปานกลาง",3,
IF('Form Responses 1'!T17="น้อย",2,
IF('Form Responses 1'!T17="ปรับปรุง",1)))))</f>
        <v>5</v>
      </c>
      <c r="G17" s="7" t="s">
        <v>94</v>
      </c>
      <c r="H17">
        <f>IF('Form Responses 1'!V17="ดีเยี่ยม",5,
IF('Form Responses 1'!V17="ดี",4,
IF('Form Responses 1'!V17="ปานกลาง",3,
IF('Form Responses 1'!V17="น้อย",2,
IF('Form Responses 1'!V17="ปรับปรุง",1)))))</f>
        <v>5</v>
      </c>
      <c r="L17" s="7" t="s">
        <v>94</v>
      </c>
      <c r="M17">
        <f>IF('Form Responses 1'!X17="ดีเยี่ยม",5,
IF('Form Responses 1'!X17="ดี",4,
IF('Form Responses 1'!X17="ปานกลาง",3,
IF('Form Responses 1'!X17="น้อย",2,
IF('Form Responses 1'!X17="ปรับปรุง",1)))))</f>
        <v>5</v>
      </c>
    </row>
    <row r="18" spans="1:13" x14ac:dyDescent="0.2">
      <c r="B18" s="7" t="s">
        <v>95</v>
      </c>
      <c r="C18" s="7">
        <f>IF('Form Responses 1'!T18="ดีเยี่ยม",5,
IF('Form Responses 1'!T18="ดี",4,
IF('Form Responses 1'!T18="ปานกลาง",3,
IF('Form Responses 1'!T18="น้อย",2,
IF('Form Responses 1'!T18="ปรับปรุง",1)))))</f>
        <v>5</v>
      </c>
      <c r="G18" s="7" t="s">
        <v>95</v>
      </c>
      <c r="H18">
        <f>IF('Form Responses 1'!V18="ดีเยี่ยม",5,
IF('Form Responses 1'!V18="ดี",4,
IF('Form Responses 1'!V18="ปานกลาง",3,
IF('Form Responses 1'!V18="น้อย",2,
IF('Form Responses 1'!V18="ปรับปรุง",1)))))</f>
        <v>4</v>
      </c>
      <c r="L18" s="7" t="s">
        <v>95</v>
      </c>
      <c r="M18">
        <f>IF('Form Responses 1'!X18="ดีเยี่ยม",5,
IF('Form Responses 1'!X18="ดี",4,
IF('Form Responses 1'!X18="ปานกลาง",3,
IF('Form Responses 1'!X18="น้อย",2,
IF('Form Responses 1'!X18="ปรับปรุง",1)))))</f>
        <v>4</v>
      </c>
    </row>
    <row r="19" spans="1:13" x14ac:dyDescent="0.2">
      <c r="B19" s="7" t="s">
        <v>96</v>
      </c>
      <c r="C19" s="7">
        <f>IF('Form Responses 1'!T19="ดีเยี่ยม",5,
IF('Form Responses 1'!T19="ดี",4,
IF('Form Responses 1'!T19="ปานกลาง",3,
IF('Form Responses 1'!T19="น้อย",2,
IF('Form Responses 1'!T19="ปรับปรุง",1)))))</f>
        <v>5</v>
      </c>
      <c r="G19" s="7" t="s">
        <v>96</v>
      </c>
      <c r="H19">
        <f>IF('Form Responses 1'!V19="ดีเยี่ยม",5,
IF('Form Responses 1'!V19="ดี",4,
IF('Form Responses 1'!V19="ปานกลาง",3,
IF('Form Responses 1'!V19="น้อย",2,
IF('Form Responses 1'!V19="ปรับปรุง",1)))))</f>
        <v>4</v>
      </c>
      <c r="L19" s="7" t="s">
        <v>96</v>
      </c>
      <c r="M19">
        <f>IF('Form Responses 1'!X19="ดีเยี่ยม",5,
IF('Form Responses 1'!X19="ดี",4,
IF('Form Responses 1'!X19="ปานกลาง",3,
IF('Form Responses 1'!X19="น้อย",2,
IF('Form Responses 1'!X19="ปรับปรุง",1)))))</f>
        <v>5</v>
      </c>
    </row>
    <row r="20" spans="1:13" x14ac:dyDescent="0.2">
      <c r="B20" s="7" t="s">
        <v>97</v>
      </c>
      <c r="C20" s="7">
        <f>IF('Form Responses 1'!T20="ดีเยี่ยม",5,
IF('Form Responses 1'!T20="ดี",4,
IF('Form Responses 1'!T20="ปานกลาง",3,
IF('Form Responses 1'!T20="น้อย",2,
IF('Form Responses 1'!T20="ปรับปรุง",1)))))</f>
        <v>4</v>
      </c>
      <c r="G20" s="7" t="s">
        <v>97</v>
      </c>
      <c r="H20">
        <f>IF('Form Responses 1'!V20="ดีเยี่ยม",5,
IF('Form Responses 1'!V20="ดี",4,
IF('Form Responses 1'!V20="ปานกลาง",3,
IF('Form Responses 1'!V20="น้อย",2,
IF('Form Responses 1'!V20="ปรับปรุง",1)))))</f>
        <v>4</v>
      </c>
      <c r="L20" s="7" t="s">
        <v>97</v>
      </c>
      <c r="M20">
        <f>IF('Form Responses 1'!X20="ดีเยี่ยม",5,
IF('Form Responses 1'!X20="ดี",4,
IF('Form Responses 1'!X20="ปานกลาง",3,
IF('Form Responses 1'!X20="น้อย",2,
IF('Form Responses 1'!X20="ปรับปรุง",1)))))</f>
        <v>4</v>
      </c>
    </row>
    <row r="21" spans="1:13" x14ac:dyDescent="0.2">
      <c r="B21" s="7" t="s">
        <v>98</v>
      </c>
      <c r="C21" s="7">
        <f>IF('Form Responses 1'!T21="ดีเยี่ยม",5,
IF('Form Responses 1'!T21="ดี",4,
IF('Form Responses 1'!T21="ปานกลาง",3,
IF('Form Responses 1'!T21="น้อย",2,
IF('Form Responses 1'!T21="ปรับปรุง",1)))))</f>
        <v>5</v>
      </c>
      <c r="G21" s="7" t="s">
        <v>98</v>
      </c>
      <c r="H21">
        <f>IF('Form Responses 1'!V21="ดีเยี่ยม",5,
IF('Form Responses 1'!V21="ดี",4,
IF('Form Responses 1'!V21="ปานกลาง",3,
IF('Form Responses 1'!V21="น้อย",2,
IF('Form Responses 1'!V21="ปรับปรุง",1)))))</f>
        <v>5</v>
      </c>
      <c r="L21" s="7" t="s">
        <v>98</v>
      </c>
      <c r="M21">
        <f>IF('Form Responses 1'!X21="ดีเยี่ยม",5,
IF('Form Responses 1'!X21="ดี",4,
IF('Form Responses 1'!X21="ปานกลาง",3,
IF('Form Responses 1'!X21="น้อย",2,
IF('Form Responses 1'!X21="ปรับปรุง",1)))))</f>
        <v>5</v>
      </c>
    </row>
    <row r="22" spans="1:13" x14ac:dyDescent="0.2">
      <c r="B22" s="7" t="s">
        <v>99</v>
      </c>
      <c r="C22" s="7">
        <f>IF('Form Responses 1'!T22="ดีเยี่ยม",5,
IF('Form Responses 1'!T22="ดี",4,
IF('Form Responses 1'!T22="ปานกลาง",3,
IF('Form Responses 1'!T22="น้อย",2,
IF('Form Responses 1'!T22="ปรับปรุง",1)))))</f>
        <v>5</v>
      </c>
      <c r="G22" s="7" t="s">
        <v>99</v>
      </c>
      <c r="H22">
        <f>IF('Form Responses 1'!V22="ดีเยี่ยม",5,
IF('Form Responses 1'!V22="ดี",4,
IF('Form Responses 1'!V22="ปานกลาง",3,
IF('Form Responses 1'!V22="น้อย",2,
IF('Form Responses 1'!V22="ปรับปรุง",1)))))</f>
        <v>5</v>
      </c>
      <c r="L22" s="7" t="s">
        <v>99</v>
      </c>
      <c r="M22">
        <f>IF('Form Responses 1'!X22="ดีเยี่ยม",5,
IF('Form Responses 1'!X22="ดี",4,
IF('Form Responses 1'!X22="ปานกลาง",3,
IF('Form Responses 1'!X22="น้อย",2,
IF('Form Responses 1'!X22="ปรับปรุง",1)))))</f>
        <v>5</v>
      </c>
    </row>
    <row r="23" spans="1:13" x14ac:dyDescent="0.2">
      <c r="B23" s="7" t="s">
        <v>100</v>
      </c>
      <c r="C23" s="7">
        <f>IF('Form Responses 1'!T23="ดีเยี่ยม",5,
IF('Form Responses 1'!T23="ดี",4,
IF('Form Responses 1'!T23="ปานกลาง",3,
IF('Form Responses 1'!T23="น้อย",2,
IF('Form Responses 1'!T23="ปรับปรุง",1)))))</f>
        <v>5</v>
      </c>
      <c r="G23" s="7" t="s">
        <v>100</v>
      </c>
      <c r="H23">
        <f>IF('Form Responses 1'!V23="ดีเยี่ยม",5,
IF('Form Responses 1'!V23="ดี",4,
IF('Form Responses 1'!V23="ปานกลาง",3,
IF('Form Responses 1'!V23="น้อย",2,
IF('Form Responses 1'!V23="ปรับปรุง",1)))))</f>
        <v>5</v>
      </c>
      <c r="L23" s="7" t="s">
        <v>100</v>
      </c>
      <c r="M23">
        <f>IF('Form Responses 1'!X23="ดีเยี่ยม",5,
IF('Form Responses 1'!X23="ดี",4,
IF('Form Responses 1'!X23="ปานกลาง",3,
IF('Form Responses 1'!X23="น้อย",2,
IF('Form Responses 1'!X23="ปรับปรุง",1)))))</f>
        <v>5</v>
      </c>
    </row>
    <row r="24" spans="1:13" x14ac:dyDescent="0.2">
      <c r="B24" s="7" t="s">
        <v>101</v>
      </c>
      <c r="C24" s="7">
        <f>IF('Form Responses 1'!T24="ดีเยี่ยม",5,
IF('Form Responses 1'!T24="ดี",4,
IF('Form Responses 1'!T24="ปานกลาง",3,
IF('Form Responses 1'!T24="น้อย",2,
IF('Form Responses 1'!T24="ปรับปรุง",1)))))</f>
        <v>5</v>
      </c>
      <c r="G24" s="7" t="s">
        <v>101</v>
      </c>
      <c r="H24">
        <f>IF('Form Responses 1'!V24="ดีเยี่ยม",5,
IF('Form Responses 1'!V24="ดี",4,
IF('Form Responses 1'!V24="ปานกลาง",3,
IF('Form Responses 1'!V24="น้อย",2,
IF('Form Responses 1'!V24="ปรับปรุง",1)))))</f>
        <v>5</v>
      </c>
      <c r="L24" s="7" t="s">
        <v>101</v>
      </c>
      <c r="M24">
        <f>IF('Form Responses 1'!X24="ดีเยี่ยม",5,
IF('Form Responses 1'!X24="ดี",4,
IF('Form Responses 1'!X24="ปานกลาง",3,
IF('Form Responses 1'!X24="น้อย",2,
IF('Form Responses 1'!X24="ปรับปรุง",1)))))</f>
        <v>5</v>
      </c>
    </row>
    <row r="25" spans="1:13" x14ac:dyDescent="0.2">
      <c r="B25" s="7" t="s">
        <v>102</v>
      </c>
      <c r="C25" s="7">
        <f>IF('Form Responses 1'!T25="ดีเยี่ยม",5,
IF('Form Responses 1'!T25="ดี",4,
IF('Form Responses 1'!T25="ปานกลาง",3,
IF('Form Responses 1'!T25="น้อย",2,
IF('Form Responses 1'!T25="ปรับปรุง",1)))))</f>
        <v>5</v>
      </c>
      <c r="G25" s="7" t="s">
        <v>102</v>
      </c>
      <c r="H25">
        <f>IF('Form Responses 1'!V25="ดีเยี่ยม",5,
IF('Form Responses 1'!V25="ดี",4,
IF('Form Responses 1'!V25="ปานกลาง",3,
IF('Form Responses 1'!V25="น้อย",2,
IF('Form Responses 1'!V25="ปรับปรุง",1)))))</f>
        <v>5</v>
      </c>
      <c r="L25" s="7" t="s">
        <v>102</v>
      </c>
      <c r="M25">
        <f>IF('Form Responses 1'!X25="ดีเยี่ยม",5,
IF('Form Responses 1'!X25="ดี",4,
IF('Form Responses 1'!X25="ปานกลาง",3,
IF('Form Responses 1'!X25="น้อย",2,
IF('Form Responses 1'!X25="ปรับปรุง",1)))))</f>
        <v>4</v>
      </c>
    </row>
    <row r="26" spans="1:13" x14ac:dyDescent="0.2">
      <c r="B26" s="7" t="s">
        <v>103</v>
      </c>
      <c r="C26" s="7">
        <f>IF('Form Responses 1'!T26="ดีเยี่ยม",5,
IF('Form Responses 1'!T26="ดี",4,
IF('Form Responses 1'!T26="ปานกลาง",3,
IF('Form Responses 1'!T26="น้อย",2,
IF('Form Responses 1'!T26="ปรับปรุง",1)))))</f>
        <v>4</v>
      </c>
      <c r="G26" s="7" t="s">
        <v>103</v>
      </c>
      <c r="H26">
        <f>IF('Form Responses 1'!V26="ดีเยี่ยม",5,
IF('Form Responses 1'!V26="ดี",4,
IF('Form Responses 1'!V26="ปานกลาง",3,
IF('Form Responses 1'!V26="น้อย",2,
IF('Form Responses 1'!V26="ปรับปรุง",1)))))</f>
        <v>5</v>
      </c>
      <c r="L26" s="7" t="s">
        <v>103</v>
      </c>
      <c r="M26">
        <f>IF('Form Responses 1'!X26="ดีเยี่ยม",5,
IF('Form Responses 1'!X26="ดี",4,
IF('Form Responses 1'!X26="ปานกลาง",3,
IF('Form Responses 1'!X26="น้อย",2,
IF('Form Responses 1'!X26="ปรับปรุง",1)))))</f>
        <v>4</v>
      </c>
    </row>
    <row r="27" spans="1:13" x14ac:dyDescent="0.2">
      <c r="B27" s="7"/>
      <c r="C27" s="7"/>
      <c r="G27" s="7"/>
      <c r="L27" s="7"/>
    </row>
    <row r="28" spans="1:13" x14ac:dyDescent="0.2">
      <c r="B28" s="7"/>
      <c r="C28" s="7"/>
      <c r="G28" s="7"/>
      <c r="L28" s="7"/>
    </row>
    <row r="29" spans="1:13" x14ac:dyDescent="0.2">
      <c r="B29" s="7"/>
      <c r="C29" s="7"/>
      <c r="G29" s="7"/>
      <c r="L29" s="7"/>
    </row>
    <row r="30" spans="1:13" x14ac:dyDescent="0.2">
      <c r="B30" s="7"/>
      <c r="C30" s="7"/>
      <c r="G30" s="7"/>
      <c r="L30" s="7"/>
    </row>
    <row r="31" spans="1:13" x14ac:dyDescent="0.2">
      <c r="B31" s="7"/>
      <c r="C31" s="7"/>
      <c r="G31" s="7"/>
      <c r="L31" s="7"/>
    </row>
    <row r="32" spans="1:13" x14ac:dyDescent="0.2">
      <c r="A32" s="42" t="s">
        <v>78</v>
      </c>
      <c r="B32" s="42"/>
      <c r="C32" s="42">
        <f>MEDIAN(C2:C31)</f>
        <v>5</v>
      </c>
      <c r="D32" s="42"/>
      <c r="E32" s="42"/>
      <c r="F32" s="42" t="s">
        <v>78</v>
      </c>
      <c r="G32" s="42"/>
      <c r="H32" s="42">
        <f>MEDIAN(H2:H31)</f>
        <v>5</v>
      </c>
      <c r="I32" s="42"/>
      <c r="J32" s="42"/>
      <c r="K32" s="42" t="s">
        <v>78</v>
      </c>
      <c r="L32" s="42"/>
      <c r="M32" s="42">
        <f>MEDIAN(M2:M31)</f>
        <v>5</v>
      </c>
    </row>
    <row r="34" spans="1:8" x14ac:dyDescent="0.2">
      <c r="A34" s="7">
        <v>2</v>
      </c>
      <c r="B34" s="7" t="s">
        <v>79</v>
      </c>
      <c r="C34" s="7">
        <f>IF('Form Responses 1'!U2="ดีเยี่ยม",5,
IF('Form Responses 1'!U2="ดี",4,
IF('Form Responses 1'!U2="ปานกลาง",3,
IF('Form Responses 1'!U2="น้อย",2,
IF('Form Responses 1'!U2="ปรับปรุง",1)))))</f>
        <v>5</v>
      </c>
      <c r="F34">
        <v>4</v>
      </c>
      <c r="G34" s="7" t="s">
        <v>79</v>
      </c>
      <c r="H34">
        <f>IF('Form Responses 1'!W2="ดีเยี่ยม",5,
IF('Form Responses 1'!W2="ดี",4,
IF('Form Responses 1'!W2="ปานกลาง",3,
IF('Form Responses 1'!W2="น้อย",2,
IF('Form Responses 1'!W2="ปรับปรุง",1)))))</f>
        <v>4</v>
      </c>
    </row>
    <row r="35" spans="1:8" x14ac:dyDescent="0.2">
      <c r="B35" s="7" t="s">
        <v>80</v>
      </c>
      <c r="C35" s="7">
        <f>IF('Form Responses 1'!U3="ดีเยี่ยม",5,
IF('Form Responses 1'!U3="ดี",4,
IF('Form Responses 1'!U3="ปานกลาง",3,
IF('Form Responses 1'!U3="น้อย",2,
IF('Form Responses 1'!U3="ปรับปรุง",1)))))</f>
        <v>4</v>
      </c>
      <c r="G35" s="7" t="s">
        <v>80</v>
      </c>
      <c r="H35">
        <f>IF('Form Responses 1'!W3="ดีเยี่ยม",5,
IF('Form Responses 1'!W3="ดี",4,
IF('Form Responses 1'!W3="ปานกลาง",3,
IF('Form Responses 1'!W3="น้อย",2,
IF('Form Responses 1'!W3="ปรับปรุง",1)))))</f>
        <v>5</v>
      </c>
    </row>
    <row r="36" spans="1:8" x14ac:dyDescent="0.2">
      <c r="B36" s="7" t="s">
        <v>81</v>
      </c>
      <c r="C36" s="7">
        <f>IF('Form Responses 1'!U4="ดีเยี่ยม",5,
IF('Form Responses 1'!U4="ดี",4,
IF('Form Responses 1'!U4="ปานกลาง",3,
IF('Form Responses 1'!U4="น้อย",2,
IF('Form Responses 1'!U4="ปรับปรุง",1)))))</f>
        <v>5</v>
      </c>
      <c r="G36" s="7" t="s">
        <v>81</v>
      </c>
      <c r="H36">
        <f>IF('Form Responses 1'!W4="ดีเยี่ยม",5,
IF('Form Responses 1'!W4="ดี",4,
IF('Form Responses 1'!W4="ปานกลาง",3,
IF('Form Responses 1'!W4="น้อย",2,
IF('Form Responses 1'!W4="ปรับปรุง",1)))))</f>
        <v>4</v>
      </c>
    </row>
    <row r="37" spans="1:8" x14ac:dyDescent="0.2">
      <c r="B37" s="7" t="s">
        <v>82</v>
      </c>
      <c r="C37" s="7">
        <f>IF('Form Responses 1'!U5="ดีเยี่ยม",5,
IF('Form Responses 1'!U5="ดี",4,
IF('Form Responses 1'!U5="ปานกลาง",3,
IF('Form Responses 1'!U5="น้อย",2,
IF('Form Responses 1'!U5="ปรับปรุง",1)))))</f>
        <v>5</v>
      </c>
      <c r="G37" s="7" t="s">
        <v>82</v>
      </c>
      <c r="H37">
        <f>IF('Form Responses 1'!W5="ดีเยี่ยม",5,
IF('Form Responses 1'!W5="ดี",4,
IF('Form Responses 1'!W5="ปานกลาง",3,
IF('Form Responses 1'!W5="น้อย",2,
IF('Form Responses 1'!W5="ปรับปรุง",1)))))</f>
        <v>5</v>
      </c>
    </row>
    <row r="38" spans="1:8" x14ac:dyDescent="0.2">
      <c r="B38" s="7" t="s">
        <v>83</v>
      </c>
      <c r="C38" s="7">
        <f>IF('Form Responses 1'!U6="ดีเยี่ยม",5,
IF('Form Responses 1'!U6="ดี",4,
IF('Form Responses 1'!U6="ปานกลาง",3,
IF('Form Responses 1'!U6="น้อย",2,
IF('Form Responses 1'!U6="ปรับปรุง",1)))))</f>
        <v>5</v>
      </c>
      <c r="G38" s="7" t="s">
        <v>83</v>
      </c>
      <c r="H38">
        <f>IF('Form Responses 1'!W6="ดีเยี่ยม",5,
IF('Form Responses 1'!W6="ดี",4,
IF('Form Responses 1'!W6="ปานกลาง",3,
IF('Form Responses 1'!W6="น้อย",2,
IF('Form Responses 1'!W6="ปรับปรุง",1)))))</f>
        <v>5</v>
      </c>
    </row>
    <row r="39" spans="1:8" x14ac:dyDescent="0.2">
      <c r="B39" s="7" t="s">
        <v>84</v>
      </c>
      <c r="C39" s="7">
        <f>IF('Form Responses 1'!U7="ดีเยี่ยม",5,
IF('Form Responses 1'!U7="ดี",4,
IF('Form Responses 1'!U7="ปานกลาง",3,
IF('Form Responses 1'!U7="น้อย",2,
IF('Form Responses 1'!U7="ปรับปรุง",1)))))</f>
        <v>5</v>
      </c>
      <c r="G39" s="7" t="s">
        <v>84</v>
      </c>
      <c r="H39">
        <f>IF('Form Responses 1'!W7="ดีเยี่ยม",5,
IF('Form Responses 1'!W7="ดี",4,
IF('Form Responses 1'!W7="ปานกลาง",3,
IF('Form Responses 1'!W7="น้อย",2,
IF('Form Responses 1'!W7="ปรับปรุง",1)))))</f>
        <v>5</v>
      </c>
    </row>
    <row r="40" spans="1:8" x14ac:dyDescent="0.2">
      <c r="B40" s="7" t="s">
        <v>85</v>
      </c>
      <c r="C40" s="7">
        <f>IF('Form Responses 1'!U8="ดีเยี่ยม",5,
IF('Form Responses 1'!U8="ดี",4,
IF('Form Responses 1'!U8="ปานกลาง",3,
IF('Form Responses 1'!U8="น้อย",2,
IF('Form Responses 1'!U8="ปรับปรุง",1)))))</f>
        <v>4</v>
      </c>
      <c r="G40" s="7" t="s">
        <v>85</v>
      </c>
      <c r="H40">
        <f>IF('Form Responses 1'!W8="ดีเยี่ยม",5,
IF('Form Responses 1'!W8="ดี",4,
IF('Form Responses 1'!W8="ปานกลาง",3,
IF('Form Responses 1'!W8="น้อย",2,
IF('Form Responses 1'!W8="ปรับปรุง",1)))))</f>
        <v>5</v>
      </c>
    </row>
    <row r="41" spans="1:8" x14ac:dyDescent="0.2">
      <c r="B41" s="7" t="s">
        <v>86</v>
      </c>
      <c r="C41" s="7">
        <f>IF('Form Responses 1'!U9="ดีเยี่ยม",5,
IF('Form Responses 1'!U9="ดี",4,
IF('Form Responses 1'!U9="ปานกลาง",3,
IF('Form Responses 1'!U9="น้อย",2,
IF('Form Responses 1'!U9="ปรับปรุง",1)))))</f>
        <v>5</v>
      </c>
      <c r="G41" s="7" t="s">
        <v>86</v>
      </c>
      <c r="H41">
        <f>IF('Form Responses 1'!W9="ดีเยี่ยม",5,
IF('Form Responses 1'!W9="ดี",4,
IF('Form Responses 1'!W9="ปานกลาง",3,
IF('Form Responses 1'!W9="น้อย",2,
IF('Form Responses 1'!W9="ปรับปรุง",1)))))</f>
        <v>4</v>
      </c>
    </row>
    <row r="42" spans="1:8" x14ac:dyDescent="0.2">
      <c r="B42" s="7" t="s">
        <v>87</v>
      </c>
      <c r="C42" s="7">
        <f>IF('Form Responses 1'!U10="ดีเยี่ยม",5,
IF('Form Responses 1'!U10="ดี",4,
IF('Form Responses 1'!U10="ปานกลาง",3,
IF('Form Responses 1'!U10="น้อย",2,
IF('Form Responses 1'!U10="ปรับปรุง",1)))))</f>
        <v>5</v>
      </c>
      <c r="G42" s="7" t="s">
        <v>87</v>
      </c>
      <c r="H42">
        <f>IF('Form Responses 1'!W10="ดีเยี่ยม",5,
IF('Form Responses 1'!W10="ดี",4,
IF('Form Responses 1'!W10="ปานกลาง",3,
IF('Form Responses 1'!W10="น้อย",2,
IF('Form Responses 1'!W10="ปรับปรุง",1)))))</f>
        <v>4</v>
      </c>
    </row>
    <row r="43" spans="1:8" x14ac:dyDescent="0.2">
      <c r="B43" s="7" t="s">
        <v>88</v>
      </c>
      <c r="C43" s="7">
        <f>IF('Form Responses 1'!U11="ดีเยี่ยม",5,
IF('Form Responses 1'!U11="ดี",4,
IF('Form Responses 1'!U11="ปานกลาง",3,
IF('Form Responses 1'!U11="น้อย",2,
IF('Form Responses 1'!U11="ปรับปรุง",1)))))</f>
        <v>4</v>
      </c>
      <c r="G43" s="7" t="s">
        <v>88</v>
      </c>
      <c r="H43">
        <f>IF('Form Responses 1'!W11="ดีเยี่ยม",5,
IF('Form Responses 1'!W11="ดี",4,
IF('Form Responses 1'!W11="ปานกลาง",3,
IF('Form Responses 1'!W11="น้อย",2,
IF('Form Responses 1'!W11="ปรับปรุง",1)))))</f>
        <v>5</v>
      </c>
    </row>
    <row r="44" spans="1:8" x14ac:dyDescent="0.2">
      <c r="B44" s="7" t="s">
        <v>89</v>
      </c>
      <c r="C44" s="7">
        <f>IF('Form Responses 1'!U12="ดีเยี่ยม",5,
IF('Form Responses 1'!U12="ดี",4,
IF('Form Responses 1'!U12="ปานกลาง",3,
IF('Form Responses 1'!U12="น้อย",2,
IF('Form Responses 1'!U12="ปรับปรุง",1)))))</f>
        <v>5</v>
      </c>
      <c r="G44" s="7" t="s">
        <v>89</v>
      </c>
      <c r="H44">
        <f>IF('Form Responses 1'!W12="ดีเยี่ยม",5,
IF('Form Responses 1'!W12="ดี",4,
IF('Form Responses 1'!W12="ปานกลาง",3,
IF('Form Responses 1'!W12="น้อย",2,
IF('Form Responses 1'!W12="ปรับปรุง",1)))))</f>
        <v>5</v>
      </c>
    </row>
    <row r="45" spans="1:8" x14ac:dyDescent="0.2">
      <c r="B45" s="7" t="s">
        <v>90</v>
      </c>
      <c r="C45" s="7">
        <f>IF('Form Responses 1'!U13="ดีเยี่ยม",5,
IF('Form Responses 1'!U13="ดี",4,
IF('Form Responses 1'!U13="ปานกลาง",3,
IF('Form Responses 1'!U13="น้อย",2,
IF('Form Responses 1'!U13="ปรับปรุง",1)))))</f>
        <v>5</v>
      </c>
      <c r="G45" s="7" t="s">
        <v>90</v>
      </c>
      <c r="H45">
        <f>IF('Form Responses 1'!W13="ดีเยี่ยม",5,
IF('Form Responses 1'!W13="ดี",4,
IF('Form Responses 1'!W13="ปานกลาง",3,
IF('Form Responses 1'!W13="น้อย",2,
IF('Form Responses 1'!W13="ปรับปรุง",1)))))</f>
        <v>5</v>
      </c>
    </row>
    <row r="46" spans="1:8" x14ac:dyDescent="0.2">
      <c r="B46" s="7" t="s">
        <v>91</v>
      </c>
      <c r="C46" s="7">
        <f>IF('Form Responses 1'!U14="ดีเยี่ยม",5,
IF('Form Responses 1'!U14="ดี",4,
IF('Form Responses 1'!U14="ปานกลาง",3,
IF('Form Responses 1'!U14="น้อย",2,
IF('Form Responses 1'!U14="ปรับปรุง",1)))))</f>
        <v>5</v>
      </c>
      <c r="G46" s="7" t="s">
        <v>91</v>
      </c>
      <c r="H46">
        <f>IF('Form Responses 1'!W14="ดีเยี่ยม",5,
IF('Form Responses 1'!W14="ดี",4,
IF('Form Responses 1'!W14="ปานกลาง",3,
IF('Form Responses 1'!W14="น้อย",2,
IF('Form Responses 1'!W14="ปรับปรุง",1)))))</f>
        <v>3</v>
      </c>
    </row>
    <row r="47" spans="1:8" x14ac:dyDescent="0.2">
      <c r="B47" s="7" t="s">
        <v>92</v>
      </c>
      <c r="C47" s="7">
        <f>IF('Form Responses 1'!U15="ดีเยี่ยม",5,
IF('Form Responses 1'!U15="ดี",4,
IF('Form Responses 1'!U15="ปานกลาง",3,
IF('Form Responses 1'!U15="น้อย",2,
IF('Form Responses 1'!U15="ปรับปรุง",1)))))</f>
        <v>4</v>
      </c>
      <c r="G47" s="7" t="s">
        <v>92</v>
      </c>
      <c r="H47">
        <f>IF('Form Responses 1'!W15="ดีเยี่ยม",5,
IF('Form Responses 1'!W15="ดี",4,
IF('Form Responses 1'!W15="ปานกลาง",3,
IF('Form Responses 1'!W15="น้อย",2,
IF('Form Responses 1'!W15="ปรับปรุง",1)))))</f>
        <v>4</v>
      </c>
    </row>
    <row r="48" spans="1:8" x14ac:dyDescent="0.2">
      <c r="B48" s="7" t="s">
        <v>93</v>
      </c>
      <c r="C48" s="7">
        <f>IF('Form Responses 1'!U16="ดีเยี่ยม",5,
IF('Form Responses 1'!U16="ดี",4,
IF('Form Responses 1'!U16="ปานกลาง",3,
IF('Form Responses 1'!U16="น้อย",2,
IF('Form Responses 1'!U16="ปรับปรุง",1)))))</f>
        <v>4</v>
      </c>
      <c r="G48" s="7" t="s">
        <v>93</v>
      </c>
      <c r="H48">
        <f>IF('Form Responses 1'!W16="ดีเยี่ยม",5,
IF('Form Responses 1'!W16="ดี",4,
IF('Form Responses 1'!W16="ปานกลาง",3,
IF('Form Responses 1'!W16="น้อย",2,
IF('Form Responses 1'!W16="ปรับปรุง",1)))))</f>
        <v>5</v>
      </c>
    </row>
    <row r="49" spans="1:8" x14ac:dyDescent="0.2">
      <c r="B49" s="7" t="s">
        <v>94</v>
      </c>
      <c r="C49" s="7">
        <f>IF('Form Responses 1'!U17="ดีเยี่ยม",5,
IF('Form Responses 1'!U17="ดี",4,
IF('Form Responses 1'!U17="ปานกลาง",3,
IF('Form Responses 1'!U17="น้อย",2,
IF('Form Responses 1'!U17="ปรับปรุง",1)))))</f>
        <v>5</v>
      </c>
      <c r="G49" s="7" t="s">
        <v>94</v>
      </c>
      <c r="H49">
        <f>IF('Form Responses 1'!W17="ดีเยี่ยม",5,
IF('Form Responses 1'!W17="ดี",4,
IF('Form Responses 1'!W17="ปานกลาง",3,
IF('Form Responses 1'!W17="น้อย",2,
IF('Form Responses 1'!W17="ปรับปรุง",1)))))</f>
        <v>4</v>
      </c>
    </row>
    <row r="50" spans="1:8" x14ac:dyDescent="0.2">
      <c r="B50" s="7" t="s">
        <v>95</v>
      </c>
      <c r="C50" s="7">
        <f>IF('Form Responses 1'!U18="ดีเยี่ยม",5,
IF('Form Responses 1'!U18="ดี",4,
IF('Form Responses 1'!U18="ปานกลาง",3,
IF('Form Responses 1'!U18="น้อย",2,
IF('Form Responses 1'!U18="ปรับปรุง",1)))))</f>
        <v>5</v>
      </c>
      <c r="G50" s="7" t="s">
        <v>95</v>
      </c>
      <c r="H50">
        <f>IF('Form Responses 1'!W18="ดีเยี่ยม",5,
IF('Form Responses 1'!W18="ดี",4,
IF('Form Responses 1'!W18="ปานกลาง",3,
IF('Form Responses 1'!W18="น้อย",2,
IF('Form Responses 1'!W18="ปรับปรุง",1)))))</f>
        <v>4</v>
      </c>
    </row>
    <row r="51" spans="1:8" x14ac:dyDescent="0.2">
      <c r="B51" s="7" t="s">
        <v>96</v>
      </c>
      <c r="C51" s="7">
        <f>IF('Form Responses 1'!U19="ดีเยี่ยม",5,
IF('Form Responses 1'!U19="ดี",4,
IF('Form Responses 1'!U19="ปานกลาง",3,
IF('Form Responses 1'!U19="น้อย",2,
IF('Form Responses 1'!U19="ปรับปรุง",1)))))</f>
        <v>5</v>
      </c>
      <c r="G51" s="7" t="s">
        <v>96</v>
      </c>
      <c r="H51">
        <f>IF('Form Responses 1'!W19="ดีเยี่ยม",5,
IF('Form Responses 1'!W19="ดี",4,
IF('Form Responses 1'!W19="ปานกลาง",3,
IF('Form Responses 1'!W19="น้อย",2,
IF('Form Responses 1'!W19="ปรับปรุง",1)))))</f>
        <v>4</v>
      </c>
    </row>
    <row r="52" spans="1:8" x14ac:dyDescent="0.2">
      <c r="B52" s="7" t="s">
        <v>97</v>
      </c>
      <c r="C52" s="7">
        <f>IF('Form Responses 1'!U20="ดีเยี่ยม",5,
IF('Form Responses 1'!U20="ดี",4,
IF('Form Responses 1'!U20="ปานกลาง",3,
IF('Form Responses 1'!U20="น้อย",2,
IF('Form Responses 1'!U20="ปรับปรุง",1)))))</f>
        <v>4</v>
      </c>
      <c r="G52" s="7" t="s">
        <v>97</v>
      </c>
      <c r="H52">
        <f>IF('Form Responses 1'!W20="ดีเยี่ยม",5,
IF('Form Responses 1'!W20="ดี",4,
IF('Form Responses 1'!W20="ปานกลาง",3,
IF('Form Responses 1'!W20="น้อย",2,
IF('Form Responses 1'!W20="ปรับปรุง",1)))))</f>
        <v>4</v>
      </c>
    </row>
    <row r="53" spans="1:8" x14ac:dyDescent="0.2">
      <c r="B53" s="7" t="s">
        <v>98</v>
      </c>
      <c r="C53" s="7">
        <f>IF('Form Responses 1'!U21="ดีเยี่ยม",5,
IF('Form Responses 1'!U21="ดี",4,
IF('Form Responses 1'!U21="ปานกลาง",3,
IF('Form Responses 1'!U21="น้อย",2,
IF('Form Responses 1'!U21="ปรับปรุง",1)))))</f>
        <v>5</v>
      </c>
      <c r="G53" s="7" t="s">
        <v>98</v>
      </c>
      <c r="H53">
        <f>IF('Form Responses 1'!W21="ดีเยี่ยม",5,
IF('Form Responses 1'!W21="ดี",4,
IF('Form Responses 1'!W21="ปานกลาง",3,
IF('Form Responses 1'!W21="น้อย",2,
IF('Form Responses 1'!W21="ปรับปรุง",1)))))</f>
        <v>5</v>
      </c>
    </row>
    <row r="54" spans="1:8" x14ac:dyDescent="0.2">
      <c r="B54" s="7" t="s">
        <v>99</v>
      </c>
      <c r="C54" s="7">
        <f>IF('Form Responses 1'!U22="ดีเยี่ยม",5,
IF('Form Responses 1'!U22="ดี",4,
IF('Form Responses 1'!U22="ปานกลาง",3,
IF('Form Responses 1'!U22="น้อย",2,
IF('Form Responses 1'!U22="ปรับปรุง",1)))))</f>
        <v>5</v>
      </c>
      <c r="G54" s="7" t="s">
        <v>99</v>
      </c>
      <c r="H54">
        <f>IF('Form Responses 1'!W22="ดีเยี่ยม",5,
IF('Form Responses 1'!W22="ดี",4,
IF('Form Responses 1'!W22="ปานกลาง",3,
IF('Form Responses 1'!W22="น้อย",2,
IF('Form Responses 1'!W22="ปรับปรุง",1)))))</f>
        <v>5</v>
      </c>
    </row>
    <row r="55" spans="1:8" x14ac:dyDescent="0.2">
      <c r="B55" s="7" t="s">
        <v>100</v>
      </c>
      <c r="C55" s="7">
        <f>IF('Form Responses 1'!U23="ดีเยี่ยม",5,
IF('Form Responses 1'!U23="ดี",4,
IF('Form Responses 1'!U23="ปานกลาง",3,
IF('Form Responses 1'!U23="น้อย",2,
IF('Form Responses 1'!U23="ปรับปรุง",1)))))</f>
        <v>5</v>
      </c>
      <c r="G55" s="7" t="s">
        <v>100</v>
      </c>
      <c r="H55">
        <f>IF('Form Responses 1'!W23="ดีเยี่ยม",5,
IF('Form Responses 1'!W23="ดี",4,
IF('Form Responses 1'!W23="ปานกลาง",3,
IF('Form Responses 1'!W23="น้อย",2,
IF('Form Responses 1'!W23="ปรับปรุง",1)))))</f>
        <v>5</v>
      </c>
    </row>
    <row r="56" spans="1:8" x14ac:dyDescent="0.2">
      <c r="B56" s="7" t="s">
        <v>101</v>
      </c>
      <c r="C56" s="7">
        <f>IF('Form Responses 1'!U24="ดีเยี่ยม",5,
IF('Form Responses 1'!U24="ดี",4,
IF('Form Responses 1'!U24="ปานกลาง",3,
IF('Form Responses 1'!U24="น้อย",2,
IF('Form Responses 1'!U24="ปรับปรุง",1)))))</f>
        <v>5</v>
      </c>
      <c r="G56" s="7" t="s">
        <v>101</v>
      </c>
      <c r="H56">
        <f>IF('Form Responses 1'!W24="ดีเยี่ยม",5,
IF('Form Responses 1'!W24="ดี",4,
IF('Form Responses 1'!W24="ปานกลาง",3,
IF('Form Responses 1'!W24="น้อย",2,
IF('Form Responses 1'!W24="ปรับปรุง",1)))))</f>
        <v>5</v>
      </c>
    </row>
    <row r="57" spans="1:8" x14ac:dyDescent="0.2">
      <c r="B57" s="7" t="s">
        <v>102</v>
      </c>
      <c r="C57" s="7">
        <f>IF('Form Responses 1'!U25="ดีเยี่ยม",5,
IF('Form Responses 1'!U25="ดี",4,
IF('Form Responses 1'!U25="ปานกลาง",3,
IF('Form Responses 1'!U25="น้อย",2,
IF('Form Responses 1'!U25="ปรับปรุง",1)))))</f>
        <v>5</v>
      </c>
      <c r="G57" s="7" t="s">
        <v>102</v>
      </c>
      <c r="H57">
        <f>IF('Form Responses 1'!W25="ดีเยี่ยม",5,
IF('Form Responses 1'!W25="ดี",4,
IF('Form Responses 1'!W25="ปานกลาง",3,
IF('Form Responses 1'!W25="น้อย",2,
IF('Form Responses 1'!W25="ปรับปรุง",1)))))</f>
        <v>5</v>
      </c>
    </row>
    <row r="58" spans="1:8" x14ac:dyDescent="0.2">
      <c r="B58" s="7" t="s">
        <v>103</v>
      </c>
      <c r="C58" s="7">
        <f>IF('Form Responses 1'!U26="ดีเยี่ยม",5,
IF('Form Responses 1'!U26="ดี",4,
IF('Form Responses 1'!U26="ปานกลาง",3,
IF('Form Responses 1'!U26="น้อย",2,
IF('Form Responses 1'!U26="ปรับปรุง",1)))))</f>
        <v>5</v>
      </c>
      <c r="G58" s="7" t="s">
        <v>103</v>
      </c>
      <c r="H58">
        <f>IF('Form Responses 1'!W26="ดีเยี่ยม",5,
IF('Form Responses 1'!W26="ดี",4,
IF('Form Responses 1'!W26="ปานกลาง",3,
IF('Form Responses 1'!W26="น้อย",2,
IF('Form Responses 1'!W26="ปรับปรุง",1)))))</f>
        <v>5</v>
      </c>
    </row>
    <row r="59" spans="1:8" x14ac:dyDescent="0.2">
      <c r="B59" s="7"/>
      <c r="C59" s="7"/>
      <c r="G59" s="7"/>
    </row>
    <row r="60" spans="1:8" x14ac:dyDescent="0.2">
      <c r="B60" s="7"/>
      <c r="C60" s="7"/>
      <c r="G60" s="7"/>
    </row>
    <row r="61" spans="1:8" x14ac:dyDescent="0.2">
      <c r="B61" s="7"/>
      <c r="C61" s="7"/>
      <c r="G61" s="7"/>
    </row>
    <row r="62" spans="1:8" x14ac:dyDescent="0.2">
      <c r="B62" s="7"/>
      <c r="C62" s="7"/>
      <c r="G62" s="7"/>
    </row>
    <row r="63" spans="1:8" x14ac:dyDescent="0.2">
      <c r="B63" s="7"/>
      <c r="C63" s="7"/>
      <c r="G63" s="7"/>
    </row>
    <row r="64" spans="1:8" x14ac:dyDescent="0.2">
      <c r="A64" s="42" t="s">
        <v>78</v>
      </c>
      <c r="B64" s="42"/>
      <c r="C64" s="42">
        <f>MEDIAN(C34:C63)</f>
        <v>5</v>
      </c>
      <c r="D64" s="42"/>
      <c r="E64" s="42"/>
      <c r="F64" s="42" t="s">
        <v>78</v>
      </c>
      <c r="G64" s="42"/>
      <c r="H64" s="42">
        <f>MEDIAN(H34:H63)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Form Responses 1</vt:lpstr>
      <vt:lpstr>total</vt:lpstr>
      <vt:lpstr>Sheet1</vt:lpstr>
      <vt:lpstr>score1</vt:lpstr>
      <vt:lpstr>score2</vt:lpstr>
      <vt:lpstr>score3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2026-03-22T16:55:11Z</dcterms:created>
  <dcterms:modified xsi:type="dcterms:W3CDTF">2026-03-30T14:27:02Z</dcterms:modified>
</cp:coreProperties>
</file>